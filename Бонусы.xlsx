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52720\Dropbox\Shared with Assel\Расчет бонуса\Тендер\2026\2026_05\"/>
    </mc:Choice>
  </mc:AlternateContent>
  <xr:revisionPtr revIDLastSave="0" documentId="13_ncr:1_{5095C9FD-B58F-49E9-B58A-BD55C6FFC1D6}" xr6:coauthVersionLast="47" xr6:coauthVersionMax="47" xr10:uidLastSave="{00000000-0000-0000-0000-000000000000}"/>
  <bookViews>
    <workbookView xWindow="-110" yWindow="-110" windowWidth="38620" windowHeight="21100" activeTab="3" xr2:uid="{245E0B84-2EE3-4A4B-B8FB-C98F769C5F4B}"/>
  </bookViews>
  <sheets>
    <sheet name="АБ" sheetId="5" r:id="rId1"/>
    <sheet name="ПК" sheetId="6" r:id="rId2"/>
    <sheet name="СД" sheetId="1" r:id="rId3"/>
    <sheet name="ИТОГ" sheetId="3" r:id="rId4"/>
  </sheets>
  <externalReferences>
    <externalReference r:id="rId5"/>
  </externalReferences>
  <definedNames>
    <definedName name="_xlnm._FilterDatabase" localSheetId="0" hidden="1">АБ!$A$1:$M$26</definedName>
    <definedName name="_xlnm._FilterDatabase" localSheetId="1" hidden="1">ПК!$A$1:$K$272</definedName>
    <definedName name="_xlnm._FilterDatabase" localSheetId="2" hidden="1">СД!$A$1:$AF$72</definedName>
  </definedNames>
  <calcPr calcId="191029"/>
  <pivotCaches>
    <pivotCache cacheId="0" r:id="rId6"/>
    <pivotCache cacheId="1" r:id="rId7"/>
    <pivotCache cacheId="2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17" i="3" l="1"/>
  <c r="O6" i="3"/>
  <c r="N17" i="3"/>
  <c r="J17" i="3"/>
  <c r="Q6" i="3"/>
  <c r="J6" i="3"/>
  <c r="H6" i="3"/>
  <c r="I6" i="3"/>
  <c r="H12" i="3"/>
  <c r="Q51" i="3" l="1"/>
  <c r="O55" i="3"/>
  <c r="Q55" i="3"/>
  <c r="P55" i="3"/>
  <c r="Q50" i="3"/>
  <c r="Q48" i="3"/>
  <c r="Q47" i="3"/>
  <c r="P47" i="3"/>
  <c r="Q43" i="3"/>
  <c r="Q42" i="3"/>
  <c r="G51" i="3"/>
  <c r="G48" i="3"/>
  <c r="G50" i="3"/>
  <c r="G55" i="3"/>
  <c r="G54" i="3"/>
  <c r="G43" i="3"/>
  <c r="F51" i="3"/>
  <c r="K21" i="5"/>
  <c r="K20" i="5"/>
  <c r="K19" i="5"/>
  <c r="J18" i="5"/>
  <c r="K18" i="5" s="1"/>
  <c r="J16" i="5"/>
  <c r="K16" i="5" s="1"/>
  <c r="J15" i="5"/>
  <c r="K15" i="5" s="1"/>
  <c r="J21" i="5"/>
  <c r="J20" i="5"/>
  <c r="J17" i="5"/>
  <c r="K17" i="5" s="1"/>
  <c r="J19" i="5"/>
  <c r="J11" i="5"/>
  <c r="K11" i="5" s="1"/>
  <c r="J5" i="5"/>
  <c r="K5" i="5" s="1"/>
  <c r="J10" i="5"/>
  <c r="K10" i="5" s="1"/>
  <c r="J9" i="5"/>
  <c r="K9" i="5" s="1"/>
  <c r="J7" i="5"/>
  <c r="K7" i="5" s="1"/>
  <c r="J6" i="5"/>
  <c r="K6" i="5" s="1"/>
  <c r="J8" i="5"/>
  <c r="K8" i="5" s="1"/>
  <c r="J4" i="5"/>
  <c r="K4" i="5" s="1"/>
  <c r="J12" i="5"/>
  <c r="K12" i="5" s="1"/>
  <c r="J2" i="5"/>
  <c r="K2" i="5" s="1"/>
  <c r="J3" i="5"/>
  <c r="K3" i="5" s="1"/>
  <c r="J14" i="5"/>
  <c r="K14" i="5" s="1"/>
  <c r="J13" i="5"/>
  <c r="I258" i="6" l="1"/>
  <c r="J258" i="6" s="1"/>
  <c r="I207" i="6"/>
  <c r="J207" i="6" s="1"/>
  <c r="I208" i="6"/>
  <c r="J208" i="6" s="1"/>
  <c r="I209" i="6"/>
  <c r="J209" i="6" s="1"/>
  <c r="I265" i="6"/>
  <c r="J265" i="6" s="1"/>
  <c r="I229" i="6"/>
  <c r="J229" i="6" s="1"/>
  <c r="I241" i="6"/>
  <c r="J241" i="6" s="1"/>
  <c r="I266" i="6"/>
  <c r="J266" i="6" s="1"/>
  <c r="I267" i="6"/>
  <c r="J267" i="6" s="1"/>
  <c r="I268" i="6"/>
  <c r="J268" i="6" s="1"/>
  <c r="I242" i="6"/>
  <c r="J242" i="6" s="1"/>
  <c r="I269" i="6"/>
  <c r="J269" i="6" s="1"/>
  <c r="I244" i="6"/>
  <c r="J244" i="6" s="1"/>
  <c r="I245" i="6"/>
  <c r="J245" i="6" s="1"/>
  <c r="I206" i="6"/>
  <c r="J206" i="6" s="1"/>
  <c r="I246" i="6"/>
  <c r="J246" i="6" s="1"/>
  <c r="I259" i="6"/>
  <c r="J259" i="6" s="1"/>
  <c r="I210" i="6"/>
  <c r="J210" i="6" s="1"/>
  <c r="I260" i="6"/>
  <c r="J260" i="6" s="1"/>
  <c r="I211" i="6"/>
  <c r="J211" i="6" s="1"/>
  <c r="I231" i="6"/>
  <c r="J231" i="6" s="1"/>
  <c r="I261" i="6"/>
  <c r="J261" i="6"/>
  <c r="I204" i="6"/>
  <c r="J204" i="6" s="1"/>
  <c r="I205" i="6"/>
  <c r="J205" i="6" s="1"/>
  <c r="I248" i="6"/>
  <c r="J248" i="6" s="1"/>
  <c r="I250" i="6"/>
  <c r="J250" i="6" s="1"/>
  <c r="I251" i="6"/>
  <c r="J251" i="6" s="1"/>
  <c r="I232" i="6"/>
  <c r="J232" i="6" s="1"/>
  <c r="I263" i="6"/>
  <c r="J263" i="6" s="1"/>
  <c r="I233" i="6"/>
  <c r="J233" i="6" s="1"/>
  <c r="I264" i="6"/>
  <c r="J264" i="6" s="1"/>
  <c r="I253" i="6"/>
  <c r="J253" i="6"/>
  <c r="I256" i="6"/>
  <c r="J256" i="6" s="1"/>
  <c r="I239" i="6"/>
  <c r="J239" i="6" s="1"/>
  <c r="I212" i="6"/>
  <c r="J212" i="6" s="1"/>
  <c r="I225" i="6"/>
  <c r="J225" i="6" s="1"/>
  <c r="I223" i="6"/>
  <c r="J223" i="6" s="1"/>
  <c r="I213" i="6"/>
  <c r="J213" i="6" s="1"/>
  <c r="I226" i="6"/>
  <c r="J226" i="6" s="1"/>
  <c r="I254" i="6"/>
  <c r="J254" i="6" s="1"/>
  <c r="I216" i="6"/>
  <c r="J216" i="6" s="1"/>
  <c r="I218" i="6"/>
  <c r="J218" i="6" s="1"/>
  <c r="I249" i="6"/>
  <c r="J249" i="6" s="1"/>
  <c r="I240" i="6"/>
  <c r="J240" i="6" s="1"/>
  <c r="I227" i="6"/>
  <c r="J227" i="6" s="1"/>
  <c r="I219" i="6"/>
  <c r="J219" i="6" s="1"/>
  <c r="I222" i="6"/>
  <c r="J222" i="6"/>
  <c r="I217" i="6"/>
  <c r="J217" i="6" s="1"/>
  <c r="I228" i="6"/>
  <c r="J228" i="6" s="1"/>
  <c r="I255" i="6"/>
  <c r="J255" i="6" s="1"/>
  <c r="I262" i="6"/>
  <c r="J262" i="6" s="1"/>
  <c r="I214" i="6"/>
  <c r="J214" i="6" s="1"/>
  <c r="I221" i="6"/>
  <c r="J221" i="6" s="1"/>
  <c r="I243" i="6"/>
  <c r="J243" i="6" s="1"/>
  <c r="I230" i="6"/>
  <c r="J230" i="6" s="1"/>
  <c r="I224" i="6"/>
  <c r="J224" i="6" s="1"/>
  <c r="I247" i="6"/>
  <c r="J247" i="6" s="1"/>
  <c r="I220" i="6"/>
  <c r="J220" i="6" s="1"/>
  <c r="I215" i="6"/>
  <c r="J215" i="6" s="1"/>
  <c r="I257" i="6"/>
  <c r="J257" i="6" s="1"/>
  <c r="I203" i="6"/>
  <c r="J203" i="6" s="1"/>
  <c r="I252" i="6"/>
  <c r="J252" i="6"/>
  <c r="I234" i="6"/>
  <c r="J234" i="6" s="1"/>
  <c r="I235" i="6"/>
  <c r="J235" i="6" s="1"/>
  <c r="I236" i="6"/>
  <c r="J236" i="6"/>
  <c r="I237" i="6"/>
  <c r="J237" i="6" s="1"/>
  <c r="I238" i="6"/>
  <c r="J238" i="6" s="1"/>
  <c r="I270" i="6"/>
  <c r="J270" i="6" s="1"/>
  <c r="I271" i="6"/>
  <c r="J271" i="6" s="1"/>
  <c r="I272" i="6"/>
  <c r="J272" i="6"/>
  <c r="I155" i="6" l="1"/>
  <c r="J155" i="6" s="1"/>
  <c r="I4" i="6"/>
  <c r="J4" i="6" s="1"/>
  <c r="I3" i="6"/>
  <c r="J3" i="6" s="1"/>
  <c r="I156" i="6"/>
  <c r="J156" i="6" s="1"/>
  <c r="I162" i="6"/>
  <c r="J162" i="6" s="1"/>
  <c r="I161" i="6"/>
  <c r="J161" i="6" s="1"/>
  <c r="I160" i="6"/>
  <c r="J160" i="6" s="1"/>
  <c r="I158" i="6"/>
  <c r="J158" i="6" s="1"/>
  <c r="I157" i="6"/>
  <c r="J157" i="6" s="1"/>
  <c r="I159" i="6"/>
  <c r="J159" i="6" s="1"/>
  <c r="I2" i="6"/>
  <c r="J2" i="6" s="1"/>
  <c r="I171" i="6"/>
  <c r="J171" i="6" s="1"/>
  <c r="I170" i="6"/>
  <c r="J170" i="6" s="1"/>
  <c r="I172" i="6"/>
  <c r="J172" i="6" s="1"/>
  <c r="I169" i="6"/>
  <c r="J169" i="6" s="1"/>
  <c r="I196" i="6"/>
  <c r="J196" i="6" s="1"/>
  <c r="I168" i="6"/>
  <c r="J168" i="6" s="1"/>
  <c r="I167" i="6"/>
  <c r="J167" i="6" s="1"/>
  <c r="I166" i="6"/>
  <c r="J166" i="6" s="1"/>
  <c r="I201" i="6"/>
  <c r="J201" i="6" s="1"/>
  <c r="I173" i="6"/>
  <c r="J173" i="6" s="1"/>
  <c r="I165" i="6"/>
  <c r="J165" i="6" s="1"/>
  <c r="I195" i="6"/>
  <c r="J195" i="6" s="1"/>
  <c r="I164" i="6"/>
  <c r="J164" i="6" s="1"/>
  <c r="I163" i="6"/>
  <c r="J163" i="6" s="1"/>
  <c r="I182" i="6"/>
  <c r="J182" i="6" s="1"/>
  <c r="I199" i="6"/>
  <c r="J199" i="6" s="1"/>
  <c r="I194" i="6"/>
  <c r="J194" i="6" s="1"/>
  <c r="I181" i="6"/>
  <c r="J181" i="6" s="1"/>
  <c r="I178" i="6"/>
  <c r="J178" i="6" s="1"/>
  <c r="I192" i="6"/>
  <c r="J192" i="6" s="1"/>
  <c r="I191" i="6"/>
  <c r="J191" i="6" s="1"/>
  <c r="I190" i="6"/>
  <c r="J190" i="6" s="1"/>
  <c r="I189" i="6"/>
  <c r="J189" i="6" s="1"/>
  <c r="I188" i="6"/>
  <c r="J188" i="6" s="1"/>
  <c r="I187" i="6"/>
  <c r="J187" i="6" s="1"/>
  <c r="I175" i="6"/>
  <c r="J175" i="6" s="1"/>
  <c r="I186" i="6"/>
  <c r="J186" i="6" s="1"/>
  <c r="I185" i="6"/>
  <c r="J185" i="6" s="1"/>
  <c r="I184" i="6"/>
  <c r="J184" i="6" s="1"/>
  <c r="I183" i="6"/>
  <c r="J183" i="6" s="1"/>
  <c r="I198" i="6"/>
  <c r="J198" i="6" s="1"/>
  <c r="I177" i="6"/>
  <c r="J177" i="6" s="1"/>
  <c r="I174" i="6"/>
  <c r="J174" i="6" s="1"/>
  <c r="I200" i="6"/>
  <c r="J200" i="6" s="1"/>
  <c r="I180" i="6"/>
  <c r="J180" i="6" s="1"/>
  <c r="I176" i="6"/>
  <c r="J176" i="6" s="1"/>
  <c r="I197" i="6"/>
  <c r="J197" i="6" s="1"/>
  <c r="I193" i="6"/>
  <c r="J193" i="6" s="1"/>
  <c r="I202" i="6"/>
  <c r="J202" i="6" s="1"/>
  <c r="I179" i="6"/>
  <c r="J179" i="6" s="1"/>
  <c r="I85" i="6"/>
  <c r="J85" i="6" s="1"/>
  <c r="I34" i="6"/>
  <c r="J34" i="6" s="1"/>
  <c r="I129" i="6"/>
  <c r="J129" i="6" s="1"/>
  <c r="I102" i="6"/>
  <c r="J102" i="6" s="1"/>
  <c r="I121" i="6"/>
  <c r="J121" i="6" s="1"/>
  <c r="I51" i="6"/>
  <c r="J51" i="6" s="1"/>
  <c r="I50" i="6"/>
  <c r="J50" i="6" s="1"/>
  <c r="I122" i="6"/>
  <c r="J122" i="6" s="1"/>
  <c r="I84" i="6"/>
  <c r="J84" i="6" s="1"/>
  <c r="I37" i="6"/>
  <c r="J37" i="6" s="1"/>
  <c r="I117" i="6"/>
  <c r="J117" i="6" s="1"/>
  <c r="I46" i="6"/>
  <c r="J46" i="6" s="1"/>
  <c r="I33" i="6"/>
  <c r="J33" i="6" s="1"/>
  <c r="I128" i="6"/>
  <c r="J128" i="6" s="1"/>
  <c r="I88" i="6"/>
  <c r="J88" i="6" s="1"/>
  <c r="I83" i="6"/>
  <c r="J83" i="6" s="1"/>
  <c r="I116" i="6"/>
  <c r="J116" i="6" s="1"/>
  <c r="I41" i="6"/>
  <c r="J41" i="6" s="1"/>
  <c r="I49" i="6"/>
  <c r="J49" i="6" s="1"/>
  <c r="I64" i="6"/>
  <c r="J64" i="6" s="1"/>
  <c r="I101" i="6"/>
  <c r="J101" i="6" s="1"/>
  <c r="I45" i="6"/>
  <c r="J45" i="6" s="1"/>
  <c r="I32" i="6"/>
  <c r="J32" i="6" s="1"/>
  <c r="I59" i="6"/>
  <c r="J59" i="6" s="1"/>
  <c r="I44" i="6"/>
  <c r="J44" i="6" s="1"/>
  <c r="I115" i="6"/>
  <c r="J115" i="6" s="1"/>
  <c r="I48" i="6"/>
  <c r="J48" i="6" s="1"/>
  <c r="I107" i="6"/>
  <c r="J107" i="6" s="1"/>
  <c r="I120" i="6"/>
  <c r="J120" i="6" s="1"/>
  <c r="I31" i="6"/>
  <c r="J31" i="6" s="1"/>
  <c r="I98" i="6"/>
  <c r="J98" i="6" s="1"/>
  <c r="I82" i="6"/>
  <c r="J82" i="6" s="1"/>
  <c r="I36" i="6"/>
  <c r="J36" i="6" s="1"/>
  <c r="I87" i="6"/>
  <c r="J87" i="6" s="1"/>
  <c r="I100" i="6"/>
  <c r="J100" i="6" s="1"/>
  <c r="I30" i="6"/>
  <c r="J30" i="6" s="1"/>
  <c r="I119" i="6"/>
  <c r="J119" i="6" s="1"/>
  <c r="I40" i="6"/>
  <c r="J40" i="6" s="1"/>
  <c r="I118" i="6"/>
  <c r="J118" i="6" s="1"/>
  <c r="I99" i="6"/>
  <c r="J99" i="6" s="1"/>
  <c r="I81" i="6"/>
  <c r="J81" i="6" s="1"/>
  <c r="I43" i="6"/>
  <c r="J43" i="6" s="1"/>
  <c r="I42" i="6"/>
  <c r="J42" i="6" s="1"/>
  <c r="I35" i="6"/>
  <c r="J35" i="6" s="1"/>
  <c r="I63" i="6"/>
  <c r="J63" i="6" s="1"/>
  <c r="I76" i="6"/>
  <c r="J76" i="6" s="1"/>
  <c r="I62" i="6"/>
  <c r="J62" i="6" s="1"/>
  <c r="I110" i="6"/>
  <c r="J110" i="6" s="1"/>
  <c r="I38" i="6"/>
  <c r="J38" i="6" s="1"/>
  <c r="I125" i="6"/>
  <c r="J125" i="6" s="1"/>
  <c r="I106" i="6"/>
  <c r="J106" i="6" s="1"/>
  <c r="I86" i="6"/>
  <c r="J86" i="6" l="1"/>
  <c r="I80" i="6"/>
  <c r="J80" i="6" s="1"/>
  <c r="I79" i="6"/>
  <c r="J79" i="6" s="1"/>
  <c r="I130" i="6"/>
  <c r="J130" i="6" s="1"/>
  <c r="I73" i="6"/>
  <c r="J73" i="6" s="1"/>
  <c r="I39" i="6"/>
  <c r="J39" i="6" s="1"/>
  <c r="I72" i="6"/>
  <c r="J72" i="6" s="1"/>
  <c r="I71" i="6"/>
  <c r="J71" i="6" s="1"/>
  <c r="I109" i="6"/>
  <c r="J109" i="6" s="1"/>
  <c r="I54" i="6" l="1"/>
  <c r="J54" i="6" s="1"/>
  <c r="I70" i="6"/>
  <c r="J70" i="6" s="1"/>
  <c r="I53" i="6"/>
  <c r="J53" i="6" s="1"/>
  <c r="I52" i="6"/>
  <c r="J52" i="6" s="1"/>
  <c r="I78" i="6"/>
  <c r="J78" i="6" s="1"/>
  <c r="I105" i="6"/>
  <c r="J105" i="6" s="1"/>
  <c r="I104" i="6"/>
  <c r="J104" i="6" s="1"/>
  <c r="I103" i="6"/>
  <c r="J103" i="6" s="1"/>
  <c r="I108" i="6"/>
  <c r="J108" i="6" s="1"/>
  <c r="I133" i="6"/>
  <c r="J133" i="6" s="1"/>
  <c r="I75" i="6"/>
  <c r="J75" i="6" s="1"/>
  <c r="I65" i="6"/>
  <c r="J65" i="6" s="1"/>
  <c r="I29" i="6"/>
  <c r="J29" i="6" s="1"/>
  <c r="I74" i="6"/>
  <c r="J74" i="6" s="1"/>
  <c r="I114" i="6"/>
  <c r="J114" i="6" s="1"/>
  <c r="I124" i="6"/>
  <c r="J124" i="6" s="1"/>
  <c r="I123" i="6"/>
  <c r="J123" i="6" s="1"/>
  <c r="I97" i="6"/>
  <c r="J97" i="6" s="1"/>
  <c r="I96" i="6"/>
  <c r="J96" i="6" s="1"/>
  <c r="I112" i="6"/>
  <c r="J112" i="6" s="1"/>
  <c r="I111" i="6"/>
  <c r="J111" i="6" s="1"/>
  <c r="I113" i="6"/>
  <c r="J113" i="6" s="1"/>
  <c r="I95" i="6"/>
  <c r="J95" i="6" s="1"/>
  <c r="I94" i="6"/>
  <c r="J94" i="6" s="1"/>
  <c r="I93" i="6"/>
  <c r="J93" i="6" s="1"/>
  <c r="I68" i="6"/>
  <c r="J68" i="6" s="1"/>
  <c r="I58" i="6"/>
  <c r="J58" i="6" s="1"/>
  <c r="I57" i="6"/>
  <c r="J57" i="6" s="1"/>
  <c r="I56" i="6"/>
  <c r="J56" i="6" s="1"/>
  <c r="I55" i="6"/>
  <c r="J55" i="6" s="1"/>
  <c r="I92" i="6"/>
  <c r="J92" i="6" s="1"/>
  <c r="I91" i="6"/>
  <c r="J91" i="6" s="1"/>
  <c r="I90" i="6"/>
  <c r="J90" i="6" s="1"/>
  <c r="I89" i="6"/>
  <c r="J89" i="6" s="1"/>
  <c r="I127" i="6"/>
  <c r="J127" i="6" s="1"/>
  <c r="I61" i="6"/>
  <c r="J61" i="6" s="1"/>
  <c r="I60" i="6"/>
  <c r="J60" i="6" s="1"/>
  <c r="I77" i="6"/>
  <c r="J77" i="6" s="1"/>
  <c r="I126" i="6"/>
  <c r="J126" i="6" s="1"/>
  <c r="I69" i="6"/>
  <c r="J69" i="6" s="1"/>
  <c r="I67" i="6"/>
  <c r="J67" i="6" s="1"/>
  <c r="I131" i="6"/>
  <c r="J131" i="6" s="1"/>
  <c r="I66" i="6"/>
  <c r="J66" i="6" s="1"/>
  <c r="I47" i="6"/>
  <c r="J47" i="6" s="1"/>
  <c r="I132" i="6"/>
  <c r="J132" i="6" s="1"/>
  <c r="I18" i="6"/>
  <c r="J18" i="6" s="1"/>
  <c r="I17" i="6"/>
  <c r="J17" i="6" s="1"/>
  <c r="I16" i="6"/>
  <c r="J16" i="6" s="1"/>
  <c r="I6" i="6"/>
  <c r="J6" i="6" s="1"/>
  <c r="I21" i="6"/>
  <c r="J21" i="6" s="1"/>
  <c r="I9" i="6"/>
  <c r="J9" i="6" s="1"/>
  <c r="I19" i="6"/>
  <c r="J19" i="6" s="1"/>
  <c r="I20" i="6"/>
  <c r="J20" i="6" s="1"/>
  <c r="I8" i="6"/>
  <c r="J8" i="6" s="1"/>
  <c r="I10" i="6"/>
  <c r="J10" i="6" s="1"/>
  <c r="I15" i="6"/>
  <c r="J15" i="6" s="1"/>
  <c r="I7" i="6"/>
  <c r="J7" i="6" s="1"/>
  <c r="I24" i="6"/>
  <c r="J24" i="6" s="1"/>
  <c r="I27" i="6"/>
  <c r="J27" i="6" s="1"/>
  <c r="I26" i="6"/>
  <c r="J26" i="6" s="1"/>
  <c r="I5" i="6"/>
  <c r="J5" i="6" s="1"/>
  <c r="I11" i="6"/>
  <c r="J11" i="6" s="1"/>
  <c r="I25" i="6"/>
  <c r="J25" i="6" s="1"/>
  <c r="I23" i="6"/>
  <c r="J23" i="6" s="1"/>
  <c r="I22" i="6"/>
  <c r="J22" i="6" s="1"/>
  <c r="I12" i="6"/>
  <c r="J12" i="6" s="1"/>
  <c r="I13" i="6"/>
  <c r="J13" i="6" s="1"/>
  <c r="I14" i="6"/>
  <c r="J14" i="6" s="1"/>
  <c r="I28" i="6"/>
  <c r="J28" i="6" s="1"/>
  <c r="I153" i="6"/>
  <c r="J153" i="6" s="1"/>
  <c r="I140" i="6"/>
  <c r="J140" i="6" s="1"/>
  <c r="I146" i="6"/>
  <c r="J146" i="6" s="1"/>
  <c r="I152" i="6"/>
  <c r="J152" i="6" s="1"/>
  <c r="I145" i="6"/>
  <c r="J145" i="6" s="1"/>
  <c r="I150" i="6"/>
  <c r="J150" i="6" s="1"/>
  <c r="I149" i="6"/>
  <c r="J149" i="6" s="1"/>
  <c r="I144" i="6"/>
  <c r="J144" i="6" s="1"/>
  <c r="I143" i="6"/>
  <c r="J143" i="6" s="1"/>
  <c r="I139" i="6"/>
  <c r="J139" i="6" s="1"/>
  <c r="I154" i="6"/>
  <c r="J154" i="6" s="1"/>
  <c r="I148" i="6"/>
  <c r="J148" i="6" s="1"/>
  <c r="I134" i="6"/>
  <c r="J134" i="6" s="1"/>
  <c r="I138" i="6"/>
  <c r="J138" i="6" s="1"/>
  <c r="I137" i="6"/>
  <c r="J137" i="6" s="1"/>
  <c r="I142" i="6"/>
  <c r="J142" i="6" s="1"/>
  <c r="I141" i="6"/>
  <c r="J141" i="6" s="1"/>
  <c r="I151" i="6"/>
  <c r="J151" i="6" s="1"/>
  <c r="I147" i="6"/>
  <c r="J147" i="6" s="1"/>
  <c r="I136" i="6"/>
  <c r="J136" i="6" s="1"/>
  <c r="I135" i="6"/>
  <c r="J135" i="6" s="1"/>
  <c r="K13" i="5"/>
  <c r="J26" i="5" l="1"/>
  <c r="K26" i="5" s="1"/>
  <c r="J25" i="5"/>
  <c r="K25" i="5" s="1"/>
  <c r="J24" i="5"/>
  <c r="K24" i="5" s="1"/>
  <c r="J22" i="5"/>
  <c r="K22" i="5" s="1"/>
  <c r="J23" i="5" l="1"/>
  <c r="K23" i="5" s="1"/>
  <c r="O56" i="3" l="1"/>
  <c r="Q17" i="3"/>
  <c r="H17" i="3"/>
  <c r="I17" i="3"/>
  <c r="O19" i="3" l="1"/>
  <c r="R44" i="3"/>
  <c r="I21" i="3"/>
  <c r="O7" i="3"/>
  <c r="J10" i="3"/>
  <c r="J8" i="3"/>
  <c r="O21" i="3" l="1"/>
  <c r="O22" i="3" s="1"/>
  <c r="J11" i="3"/>
  <c r="J12" i="3" s="1"/>
  <c r="Y21" i="3"/>
  <c r="I19" i="3" l="1"/>
  <c r="O54" i="3" l="1"/>
  <c r="I54" i="3"/>
  <c r="H54" i="3"/>
  <c r="J21" i="3" l="1"/>
  <c r="W21" i="3"/>
  <c r="W22" i="3" s="1"/>
  <c r="W23" i="3" s="1"/>
  <c r="AA22" i="3"/>
  <c r="AA23" i="3" l="1"/>
  <c r="H28" i="3"/>
  <c r="O28" i="3" l="1"/>
  <c r="O52" i="3" l="1"/>
  <c r="O44" i="3"/>
  <c r="S44" i="3" l="1"/>
  <c r="O45" i="3"/>
  <c r="H33" i="3"/>
  <c r="I44" i="3" l="1"/>
  <c r="H44" i="3"/>
  <c r="I52" i="3"/>
  <c r="H52" i="3"/>
  <c r="O10" i="3" l="1"/>
  <c r="O47" i="3"/>
  <c r="I9" i="1"/>
  <c r="J9" i="1" s="1"/>
  <c r="O23" i="3" l="1"/>
  <c r="O42" i="3" l="1"/>
  <c r="I10" i="3"/>
  <c r="O49" i="3"/>
  <c r="I8" i="1" l="1"/>
  <c r="J8" i="1" s="1"/>
  <c r="O43" i="3" l="1"/>
  <c r="I6" i="1" l="1"/>
  <c r="J6" i="1" s="1"/>
  <c r="I5" i="1"/>
  <c r="J5" i="1" s="1"/>
  <c r="I28" i="3" l="1"/>
  <c r="J19" i="3"/>
  <c r="I8" i="3"/>
  <c r="J22" i="3" l="1"/>
  <c r="J23" i="3" s="1"/>
  <c r="I22" i="3"/>
  <c r="I23" i="3" s="1"/>
  <c r="Y22" i="3" l="1"/>
  <c r="Y23" i="3" s="1"/>
  <c r="Z21" i="3"/>
  <c r="X21" i="3"/>
  <c r="X22" i="3" s="1"/>
  <c r="V21" i="3"/>
  <c r="V22" i="3" s="1"/>
  <c r="U21" i="3"/>
  <c r="U22" i="3" s="1"/>
  <c r="T21" i="3"/>
  <c r="T22" i="3" s="1"/>
  <c r="S21" i="3"/>
  <c r="S22" i="3" s="1"/>
  <c r="R21" i="3"/>
  <c r="Q21" i="3"/>
  <c r="Q22" i="3" s="1"/>
  <c r="P21" i="3"/>
  <c r="N21" i="3"/>
  <c r="M21" i="3"/>
  <c r="M22" i="3" s="1"/>
  <c r="L21" i="3"/>
  <c r="L22" i="3" s="1"/>
  <c r="K21" i="3"/>
  <c r="H21" i="3"/>
  <c r="G21" i="3"/>
  <c r="G22" i="3" s="1"/>
  <c r="F21" i="3"/>
  <c r="F22" i="3" s="1"/>
  <c r="E21" i="3"/>
  <c r="E22" i="3" s="1"/>
  <c r="V19" i="3"/>
  <c r="R19" i="3"/>
  <c r="H19" i="3"/>
  <c r="O53" i="3"/>
  <c r="O50" i="3"/>
  <c r="O46" i="3"/>
  <c r="H57" i="3"/>
  <c r="H56" i="3"/>
  <c r="I50" i="3"/>
  <c r="Z32" i="3"/>
  <c r="Z33" i="3" s="1"/>
  <c r="I72" i="1"/>
  <c r="J72" i="1" s="1"/>
  <c r="P22" i="3" l="1"/>
  <c r="K22" i="3"/>
  <c r="N19" i="3"/>
  <c r="N22" i="3" s="1"/>
  <c r="N23" i="3" s="1"/>
  <c r="R22" i="3"/>
  <c r="H22" i="3"/>
  <c r="H23" i="3" s="1"/>
  <c r="Z22" i="3"/>
  <c r="Z23" i="3" s="1"/>
  <c r="G23" i="3"/>
  <c r="Z34" i="3"/>
  <c r="S57" i="3"/>
  <c r="R57" i="3"/>
  <c r="I57" i="3"/>
  <c r="I56" i="3"/>
  <c r="S56" i="3" s="1"/>
  <c r="H55" i="3"/>
  <c r="I69" i="1"/>
  <c r="J69" i="1" s="1"/>
  <c r="I70" i="1"/>
  <c r="J70" i="1" s="1"/>
  <c r="I71" i="1"/>
  <c r="J71" i="1" s="1"/>
  <c r="H8" i="3"/>
  <c r="H10" i="3"/>
  <c r="R56" i="3" l="1"/>
  <c r="H11" i="3"/>
  <c r="I42" i="3"/>
  <c r="H46" i="3"/>
  <c r="H45" i="3"/>
  <c r="I43" i="1"/>
  <c r="J43" i="1" s="1"/>
  <c r="I68" i="1"/>
  <c r="J68" i="1" s="1"/>
  <c r="I67" i="1"/>
  <c r="J67" i="1" s="1"/>
  <c r="I66" i="1"/>
  <c r="J66" i="1" s="1"/>
  <c r="I65" i="1"/>
  <c r="J65" i="1" s="1"/>
  <c r="I64" i="1"/>
  <c r="J64" i="1" s="1"/>
  <c r="I63" i="1"/>
  <c r="J63" i="1" s="1"/>
  <c r="I62" i="1"/>
  <c r="J62" i="1" s="1"/>
  <c r="I61" i="1"/>
  <c r="J61" i="1" s="1"/>
  <c r="I60" i="1"/>
  <c r="J60" i="1" s="1"/>
  <c r="I59" i="1"/>
  <c r="J59" i="1" s="1"/>
  <c r="I58" i="1"/>
  <c r="J58" i="1" s="1"/>
  <c r="I57" i="1"/>
  <c r="J57" i="1" s="1"/>
  <c r="I56" i="1"/>
  <c r="J56" i="1" s="1"/>
  <c r="I55" i="1"/>
  <c r="J55" i="1" s="1"/>
  <c r="I54" i="1"/>
  <c r="J54" i="1" s="1"/>
  <c r="I53" i="1"/>
  <c r="J53" i="1" s="1"/>
  <c r="I52" i="1"/>
  <c r="J52" i="1" s="1"/>
  <c r="I51" i="1"/>
  <c r="J51" i="1" s="1"/>
  <c r="I50" i="1"/>
  <c r="J50" i="1" s="1"/>
  <c r="I49" i="1"/>
  <c r="J49" i="1" s="1"/>
  <c r="I48" i="1"/>
  <c r="J48" i="1" s="1"/>
  <c r="I47" i="1"/>
  <c r="J47" i="1" s="1"/>
  <c r="I46" i="1"/>
  <c r="J46" i="1" s="1"/>
  <c r="I45" i="1"/>
  <c r="J45" i="1" s="1"/>
  <c r="I44" i="1"/>
  <c r="J44" i="1" s="1"/>
  <c r="I42" i="1"/>
  <c r="J42" i="1" s="1"/>
  <c r="J28" i="3" l="1"/>
  <c r="J30" i="3" s="1"/>
  <c r="R28" i="3"/>
  <c r="N10" i="3"/>
  <c r="U32" i="3"/>
  <c r="I17" i="1"/>
  <c r="J17" i="1" s="1"/>
  <c r="L10" i="3"/>
  <c r="L11" i="3" s="1"/>
  <c r="M10" i="3"/>
  <c r="I28" i="1"/>
  <c r="J28" i="1" s="1"/>
  <c r="O51" i="3" l="1"/>
  <c r="O48" i="3"/>
  <c r="I48" i="3"/>
  <c r="H47" i="3"/>
  <c r="R55" i="3" l="1"/>
  <c r="N30" i="3"/>
  <c r="N8" i="3"/>
  <c r="S55" i="3"/>
  <c r="I30" i="3"/>
  <c r="I55" i="3"/>
  <c r="I53" i="3"/>
  <c r="H53" i="3"/>
  <c r="I51" i="3"/>
  <c r="H51" i="3"/>
  <c r="H50" i="3"/>
  <c r="I49" i="3"/>
  <c r="H49" i="3"/>
  <c r="H48" i="3"/>
  <c r="I47" i="3"/>
  <c r="I46" i="3"/>
  <c r="I45" i="3"/>
  <c r="H43" i="3"/>
  <c r="I43" i="3"/>
  <c r="H42" i="3"/>
  <c r="S50" i="3" l="1"/>
  <c r="S48" i="3"/>
  <c r="S43" i="3"/>
  <c r="S42" i="3"/>
  <c r="R42" i="3"/>
  <c r="R50" i="3"/>
  <c r="R51" i="3"/>
  <c r="S47" i="3"/>
  <c r="R47" i="3"/>
  <c r="R45" i="3"/>
  <c r="S45" i="3"/>
  <c r="S53" i="3"/>
  <c r="S49" i="3"/>
  <c r="R49" i="3"/>
  <c r="R53" i="3"/>
  <c r="R46" i="3"/>
  <c r="S46" i="3"/>
  <c r="S54" i="3"/>
  <c r="R54" i="3"/>
  <c r="S51" i="3"/>
  <c r="R48" i="3" l="1"/>
  <c r="R43" i="3"/>
  <c r="R10" i="3"/>
  <c r="I33" i="1" l="1"/>
  <c r="I41" i="1" l="1"/>
  <c r="J41" i="1" s="1"/>
  <c r="I40" i="1"/>
  <c r="J40" i="1" s="1"/>
  <c r="I39" i="1"/>
  <c r="J39" i="1" s="1"/>
  <c r="I3" i="1"/>
  <c r="I2" i="1"/>
  <c r="I4" i="1"/>
  <c r="I7" i="1"/>
  <c r="I10" i="1"/>
  <c r="I11" i="1"/>
  <c r="I12" i="1"/>
  <c r="I13" i="1"/>
  <c r="I14" i="1"/>
  <c r="H30" i="3" l="1"/>
  <c r="J3" i="1" l="1"/>
  <c r="J4" i="1"/>
  <c r="J7" i="1"/>
  <c r="I18" i="1" l="1"/>
  <c r="J18" i="1" s="1"/>
  <c r="Z10" i="3" l="1"/>
  <c r="Z11" i="3" s="1"/>
  <c r="X10" i="3"/>
  <c r="K32" i="3" l="1"/>
  <c r="K33" i="3" s="1"/>
  <c r="K34" i="3" l="1"/>
  <c r="J2" i="1"/>
  <c r="I37" i="1"/>
  <c r="J37" i="1" s="1"/>
  <c r="I38" i="1"/>
  <c r="J38" i="1" s="1"/>
  <c r="J10" i="1" l="1"/>
  <c r="J11" i="1"/>
  <c r="J12" i="1"/>
  <c r="J13" i="1"/>
  <c r="J14" i="1"/>
  <c r="I15" i="1"/>
  <c r="J15" i="1" s="1"/>
  <c r="I16" i="1"/>
  <c r="J16" i="1" s="1"/>
  <c r="I19" i="1"/>
  <c r="J19" i="1" s="1"/>
  <c r="I20" i="1"/>
  <c r="J20" i="1" s="1"/>
  <c r="I21" i="1"/>
  <c r="J21" i="1" s="1"/>
  <c r="I22" i="1"/>
  <c r="J22" i="1" s="1"/>
  <c r="I23" i="1"/>
  <c r="J23" i="1" s="1"/>
  <c r="I24" i="1"/>
  <c r="J24" i="1" s="1"/>
  <c r="I25" i="1"/>
  <c r="J25" i="1" s="1"/>
  <c r="I26" i="1"/>
  <c r="J26" i="1" s="1"/>
  <c r="I27" i="1"/>
  <c r="J27" i="1" s="1"/>
  <c r="I29" i="1"/>
  <c r="J29" i="1" s="1"/>
  <c r="I30" i="1"/>
  <c r="J30" i="1" s="1"/>
  <c r="I31" i="1"/>
  <c r="J31" i="1" s="1"/>
  <c r="I32" i="1"/>
  <c r="J32" i="1" s="1"/>
  <c r="J33" i="1"/>
  <c r="I34" i="1"/>
  <c r="J34" i="1" s="1"/>
  <c r="I35" i="1"/>
  <c r="J35" i="1" s="1"/>
  <c r="I36" i="1"/>
  <c r="J36" i="1" s="1"/>
  <c r="N32" i="3" l="1"/>
  <c r="X32" i="3"/>
  <c r="X33" i="3" s="1"/>
  <c r="V32" i="3"/>
  <c r="V33" i="3" s="1"/>
  <c r="U33" i="3"/>
  <c r="T32" i="3"/>
  <c r="R32" i="3"/>
  <c r="P32" i="3"/>
  <c r="M32" i="3"/>
  <c r="M33" i="3" s="1"/>
  <c r="J32" i="3"/>
  <c r="H34" i="3"/>
  <c r="G32" i="3"/>
  <c r="E32" i="3"/>
  <c r="AA32" i="3" s="1"/>
  <c r="AA33" i="3" s="1"/>
  <c r="AA34" i="3" s="1"/>
  <c r="V10" i="3"/>
  <c r="V11" i="3" s="1"/>
  <c r="T10" i="3"/>
  <c r="T11" i="3" s="1"/>
  <c r="S10" i="3"/>
  <c r="S11" i="3" s="1"/>
  <c r="Q10" i="3"/>
  <c r="P10" i="3"/>
  <c r="M11" i="3"/>
  <c r="K10" i="3"/>
  <c r="K11" i="3" s="1"/>
  <c r="E10" i="3"/>
  <c r="Y33" i="3"/>
  <c r="W33" i="3"/>
  <c r="S32" i="3"/>
  <c r="S33" i="3" s="1"/>
  <c r="Q32" i="3"/>
  <c r="O32" i="3"/>
  <c r="I32" i="3"/>
  <c r="I33" i="3" s="1"/>
  <c r="F32" i="3"/>
  <c r="O29" i="3"/>
  <c r="R30" i="3"/>
  <c r="Y11" i="3"/>
  <c r="W11" i="3"/>
  <c r="U10" i="3"/>
  <c r="U11" i="3" s="1"/>
  <c r="G10" i="3"/>
  <c r="G11" i="3" s="1"/>
  <c r="G12" i="3" s="1"/>
  <c r="F10" i="3"/>
  <c r="F11" i="3" s="1"/>
  <c r="V8" i="3"/>
  <c r="R8" i="3"/>
  <c r="E11" i="3" l="1"/>
  <c r="AA11" i="3"/>
  <c r="AA12" i="3" s="1"/>
  <c r="O11" i="3"/>
  <c r="O12" i="3" s="1"/>
  <c r="J33" i="3"/>
  <c r="N33" i="3"/>
  <c r="N11" i="3"/>
  <c r="N12" i="3" s="1"/>
  <c r="O33" i="3"/>
  <c r="I11" i="3"/>
  <c r="I12" i="3" s="1"/>
  <c r="R33" i="3"/>
  <c r="E33" i="3"/>
  <c r="G33" i="3"/>
  <c r="G34" i="3" s="1"/>
  <c r="I34" i="3"/>
  <c r="R11" i="3"/>
  <c r="F33" i="3"/>
  <c r="Q33" i="3"/>
  <c r="P33" i="3"/>
  <c r="P11" i="3"/>
  <c r="T33" i="3"/>
  <c r="Q11" i="3"/>
  <c r="X11" i="3"/>
</calcChain>
</file>

<file path=xl/sharedStrings.xml><?xml version="1.0" encoding="utf-8"?>
<sst xmlns="http://schemas.openxmlformats.org/spreadsheetml/2006/main" count="1372" uniqueCount="240">
  <si>
    <t>№</t>
  </si>
  <si>
    <t>Город</t>
  </si>
  <si>
    <t>Наименование объекта</t>
  </si>
  <si>
    <t>БИН</t>
  </si>
  <si>
    <t>Дата оплаты</t>
  </si>
  <si>
    <t>Сумма</t>
  </si>
  <si>
    <t>Накладные расходы</t>
  </si>
  <si>
    <t>Потери</t>
  </si>
  <si>
    <t>Чистая сумма</t>
  </si>
  <si>
    <t>Менеджер</t>
  </si>
  <si>
    <t>Комментарий</t>
  </si>
  <si>
    <t>Малик Дулат</t>
  </si>
  <si>
    <t>Кожаева Назира</t>
  </si>
  <si>
    <t>Казанцев Сергей</t>
  </si>
  <si>
    <t>Сойнова Инна</t>
  </si>
  <si>
    <t>Котельников Сергей</t>
  </si>
  <si>
    <t>Жигер Бакаев</t>
  </si>
  <si>
    <t>ТОО "Аврора Брендс"</t>
  </si>
  <si>
    <t>Иманбек Сыздыков</t>
  </si>
  <si>
    <t>Елена Гречаник</t>
  </si>
  <si>
    <t>Личные приходы</t>
  </si>
  <si>
    <t>Приходы с региона</t>
  </si>
  <si>
    <t>Процент потери</t>
  </si>
  <si>
    <t>Итоговое Денежное вознаграждение</t>
  </si>
  <si>
    <t>ТОО "Sierra Dynamic"</t>
  </si>
  <si>
    <t>Аниров Темирлан</t>
  </si>
  <si>
    <t>Сансызбеккызы Макпал</t>
  </si>
  <si>
    <t>ФИО</t>
  </si>
  <si>
    <t>План деньги</t>
  </si>
  <si>
    <t>План договор</t>
  </si>
  <si>
    <t>Факт деньги</t>
  </si>
  <si>
    <t>% договора</t>
  </si>
  <si>
    <t>% деньги</t>
  </si>
  <si>
    <t>Ставка</t>
  </si>
  <si>
    <t>Бонус за договора</t>
  </si>
  <si>
    <t>Бонус за деньги</t>
  </si>
  <si>
    <t>% Перевыполнения договора</t>
  </si>
  <si>
    <t>1% от ставки</t>
  </si>
  <si>
    <t>Свыше 120</t>
  </si>
  <si>
    <t>Итого</t>
  </si>
  <si>
    <t>Лаура Султанбекова</t>
  </si>
  <si>
    <t>Екатерина Митянина</t>
  </si>
  <si>
    <t>Названия строк</t>
  </si>
  <si>
    <t>(пусто)</t>
  </si>
  <si>
    <t>Общий итог</t>
  </si>
  <si>
    <t>Сумма по полю Чистая сумма</t>
  </si>
  <si>
    <t>Гулжайна Серикбай</t>
  </si>
  <si>
    <t>ТОО "ПК Аврора" и ТОО "Аврора 17"</t>
  </si>
  <si>
    <t>Сумма по полю Сумма</t>
  </si>
  <si>
    <t>Гречаник Елена</t>
  </si>
  <si>
    <t>Алия Мараткызы</t>
  </si>
  <si>
    <t>Руслан Ли</t>
  </si>
  <si>
    <t>Турсынай Зикенова</t>
  </si>
  <si>
    <t>Зикенова Турсынай</t>
  </si>
  <si>
    <t>Айнагуль Дарбаева</t>
  </si>
  <si>
    <t>Выписка</t>
  </si>
  <si>
    <t>Малика Нуршина</t>
  </si>
  <si>
    <t>Факт договора</t>
  </si>
  <si>
    <t>Багандыкова Вероника</t>
  </si>
  <si>
    <t>Данияр Дентаев</t>
  </si>
  <si>
    <t>Дентаев Данияр</t>
  </si>
  <si>
    <t>Алматы</t>
  </si>
  <si>
    <t>БХТ</t>
  </si>
  <si>
    <t>Караганда</t>
  </si>
  <si>
    <t>Астана</t>
  </si>
  <si>
    <t>АБ ВКО</t>
  </si>
  <si>
    <t>А17</t>
  </si>
  <si>
    <t>ПК 241</t>
  </si>
  <si>
    <t>Атырау</t>
  </si>
  <si>
    <t>Акерке Камза</t>
  </si>
  <si>
    <t>Анастасия Доля</t>
  </si>
  <si>
    <t>Рауан Турганбай</t>
  </si>
  <si>
    <t>Кадирханов Ерлан</t>
  </si>
  <si>
    <t>Абулхаир Сейдалин</t>
  </si>
  <si>
    <t>Государственное коммунальное казенное предприятие "Ясли-сад №90" Управления образования города Алматы</t>
  </si>
  <si>
    <t>Коммунальное государственное учреждение "Центр социального обслуживания "Қамқор" акимата города Астаны</t>
  </si>
  <si>
    <t>Актобе</t>
  </si>
  <si>
    <t>ПК 660</t>
  </si>
  <si>
    <t>Коммунальное государственное учреждение "Центр ресоциализации лиц, оказавшихся в трудной жизненной ситуации" государственного учреждения "От</t>
  </si>
  <si>
    <t>ВКО</t>
  </si>
  <si>
    <t>КГУ "Восточно-Казахстанская областная специализированная школа-интернат-колледж олимпийского резерва для одаренных детей в спорте" управлен</t>
  </si>
  <si>
    <t>КГУ "Зевакинский центр оказания специальных социальных услуг" управления координации занятости и социальных программ Восточно-Казахстанской</t>
  </si>
  <si>
    <t>Коммунальное государственное учреждение "Восточно-Казахстанская областная специализированная детско-юношеская спортивная школа олимпийского</t>
  </si>
  <si>
    <t>Ерлан Кадирханов</t>
  </si>
  <si>
    <t>КГУ Управление делами акима Восточно-Казахстанской области аппарата акима ВКО</t>
  </si>
  <si>
    <t>ГККП "Ясли-сад № 48 "Ақ көгершін" акимата города Астаны</t>
  </si>
  <si>
    <t>НАО "Евразийский национальный университет имени Л.Н.Гумилева"</t>
  </si>
  <si>
    <t>КГУ "Центр социальных услуг "Парасат" Управления занятости и социальных программ города Алматы</t>
  </si>
  <si>
    <t>КГП Многопроф больн № 2 г Караган управ здравоохран Кар обл</t>
  </si>
  <si>
    <t>Товарищество с ограниченной ответственностью "KMG EP - Cater</t>
  </si>
  <si>
    <t>Коммунальное государственное учреждение "Областная санаторная школа-интернат" государственного учреждения "Управление образования Актюбинско</t>
  </si>
  <si>
    <t>Актау</t>
  </si>
  <si>
    <t>Коммунальное государственное учреждение "Кызылжарская средняя школа" государственного учреждения "Отдел образования города Актобе"</t>
  </si>
  <si>
    <t>Коммунальное государственное учреждение "Центр оказания специальных социальных услуг №4 города Караганды Карагандинской области" Управления</t>
  </si>
  <si>
    <t>КГУ "Станция юных туристов" отдела образования города Караганды управления образования Карагандинской области</t>
  </si>
  <si>
    <t>КГУ "Общеобразовательная школа №61" отдела образования города Караганды управления образования Карагандинской области</t>
  </si>
  <si>
    <t>ГУ "Отдел образования по Целиноградскому району управления образования Акмолинской области"</t>
  </si>
  <si>
    <t>КГУ "Школа-гимназия №123 имени Кожа Ахмета Яссауи" Управления образования города Алматы</t>
  </si>
  <si>
    <t>КГУ "Общеобразовательная школа имени академика Е.А.Букетова" отдела образования города Караганды управления образования Карагандинской облас</t>
  </si>
  <si>
    <t>Коммунальное государственное учреждение "Областная специализированная школа-лицей-интернат для одаренных детей" управления образования Восто</t>
  </si>
  <si>
    <t>КГУ "Гимназия №97" отдела образования города Караганды управления образования Карагандинской области</t>
  </si>
  <si>
    <t>КГУ "Общеобразовательная школа №48" отдела образования города Караганды управления образования Карагандинской области</t>
  </si>
  <si>
    <t>КГУ "Общеобразовательная школа №181" Управления образования г.Алматы</t>
  </si>
  <si>
    <t>Коммунальное государственное учреждение "Средняя школа-лицей № 23 имени Алимхана Ермекова" государственного учреждения "Отдел образования го</t>
  </si>
  <si>
    <t>Коммунальное государственное учреждение "Средняя школа № 29" государственного учреждения "Отдел образования города Актобе"</t>
  </si>
  <si>
    <t>Коммунальное государственное учреждение "Общеобразовательная средняя школа № 85" государственного учереждения "Отдел образования города Акто</t>
  </si>
  <si>
    <t xml:space="preserve">Караганда </t>
  </si>
  <si>
    <t>НАО "Карагандинский медицинский университет"</t>
  </si>
  <si>
    <t>Товарищество с ограниченной ответственностью "Институт гидрогеологии и геоэкологии им. У.М. Ахмедсафина"</t>
  </si>
  <si>
    <t>КГУ "Управление делами акимата Мангистауской области"</t>
  </si>
  <si>
    <t>ГККП "Ясли-сад № 38 "Шаттық" акимата города Астаны</t>
  </si>
  <si>
    <t>КГУ "Школа -гимназия №206" Управления образования города Алматы</t>
  </si>
  <si>
    <t>ТОО Окжетпес-Т</t>
  </si>
  <si>
    <t>КГУ "Основная средняя школа №79" отдела образования города Караганды управления образования Карагандинской области</t>
  </si>
  <si>
    <t>КГУ "Школа-интернат №4" отдела образования города Караганды управления образования Карагандинской области</t>
  </si>
  <si>
    <t>КГУ "Школа-гимназия № 101" Управления образования города Алматы</t>
  </si>
  <si>
    <t>Коммунальное государственное учреждение "Школа-гимназия №209" Управления образования города Алматы</t>
  </si>
  <si>
    <t>КГУ "Школа-гимназия №176" Управления образования г. Алматы</t>
  </si>
  <si>
    <t>НАО "Восточно-Казахстанский технический университет имени Д.</t>
  </si>
  <si>
    <t>Государственное коммунальное казенное предприятие "Центр социального обслуживания "Шарапат" акимата города Астана</t>
  </si>
  <si>
    <t>КГУ "Школа-лицей № 71" Управления образования г. Алматы</t>
  </si>
  <si>
    <t>Коммунальное государственное учреждение "общеобразовательная школа №109" акимата города Астаны</t>
  </si>
  <si>
    <t>ГКП на ПХВ "Школа-лицей №28" акимата города Астаны</t>
  </si>
  <si>
    <t>КГУ "Школа-лицей №53" отдела образования города Караганды управления образования Карагандинской области</t>
  </si>
  <si>
    <t>КГУ "Общеобразовательная школа-интернат № 10 для детей из малообеспеченных семей" Управления образования города Алматы</t>
  </si>
  <si>
    <t>КГКП Ясли-сад "ҚАРЛЫҒАШ" ОО</t>
  </si>
  <si>
    <t>НАО КарНИУ имени академика Е А Букетова</t>
  </si>
  <si>
    <t>КГП на ПХВ "Реабилитационный центр "Умит" управления здравоохранения Карагандинской области</t>
  </si>
  <si>
    <t>КГУ "Отделение социальной помощи на дому района Әлихан Бөкейхан города Караганды" Отдела занятости и социальных программ города Караганды</t>
  </si>
  <si>
    <t>Коммунальное государственное учреждение "Средняя школа №42" отдела образования по городу Усть-Каменогорску управления образования Восточно-К</t>
  </si>
  <si>
    <t>Коммунальное государственное учреждение "Школа-гимназия №12" отдела образования по городу Усть-Каменогорску управления образования Восточно-</t>
  </si>
  <si>
    <t>АО Алатау Жарық Компаниясы</t>
  </si>
  <si>
    <t>КГУ "Школа-гимназия №41 имени Әбіша Кекілбайұлы" отдела образования города Атырау Управления образования Атырауской области"</t>
  </si>
  <si>
    <t>КГУ “Кабинет психолого-педагогической коррекции Жетысуского района города Алматы” Управления образования города Алматы</t>
  </si>
  <si>
    <t>Коммунальное государственное учреждение "Школа-лицей №34" отдела образования по городу Усть-Каменогорску управления образования Восточно-Каз</t>
  </si>
  <si>
    <t>КГУ "Средняя общеобразовательная школа №4 имени Ю.А.Гагарина" отдела образования города Атырау Управления образования Атырауской области"</t>
  </si>
  <si>
    <t>КГКП Шах.технол.колледж</t>
  </si>
  <si>
    <t>ФИЛИАЛ АО ВОЛКОВГЕОЛОГИЯ ЦОМЭ</t>
  </si>
  <si>
    <t>ТОО Хозяйственное управление Астаны</t>
  </si>
  <si>
    <t>ГККП Ясли - сад № 37 "Арман" акимата города Астаны</t>
  </si>
  <si>
    <t>Коммунальное государственное учреждение "Специальный ясли -сад для детей с тяжелыми нарушениями речи №145" Управления образования города</t>
  </si>
  <si>
    <t>Коммунальное государственное учреждение "Специализированная гимназия №12 имени Шохана Уалиханова" Управления образования г. Алматы</t>
  </si>
  <si>
    <t>Коммунальное государственное учреждение "Школа-гимназия №180" Управления образования города Алматы</t>
  </si>
  <si>
    <t>ГКП на ПХВ «Школа-лицей № 35 имени Назира Торекулова» акимата города Астаны</t>
  </si>
  <si>
    <t>Коммунальное государственное казенное предприятие "Саранский технический колледж" управления образования Карагандинской области</t>
  </si>
  <si>
    <t>Коммунальное государственное предприятие "Поликлиника №1 города Караганды" управления здравоохранения Карагандинской области</t>
  </si>
  <si>
    <t>КГУ "Центр оказания специальных социальных услуг поселка Жолымбет, Шортандинского района" управления координации занятости и социальных прог</t>
  </si>
  <si>
    <t>КГУ "Школа–гимназия №110" Управления образования города Алматы</t>
  </si>
  <si>
    <t>КГУ "Гимназия №111" Управления образования города Алматы</t>
  </si>
  <si>
    <t>КГУ "Школа гимназия №118" Управления образования города Алматы</t>
  </si>
  <si>
    <t>КГКП Ясли сад Шолпан</t>
  </si>
  <si>
    <t>РГУ Департамент по делам обороны Карагандинской области Министерства обороны РК</t>
  </si>
  <si>
    <t>ЯС №082</t>
  </si>
  <si>
    <t>Коммунальное государственное учреждение "общеобразовательная школа №103" акимата города Астаны</t>
  </si>
  <si>
    <t>Коммунальное государственное учреждение "Общеобразовательная школа №216" Управления образования города Алматы</t>
  </si>
  <si>
    <t>Коммунальное государственное учреждение "Коррекционный ясли-сад № 111 для детей с тяжелыми нарушениями речи" Управления образования города А</t>
  </si>
  <si>
    <t>Коммунальное государственное учреждение “Центр оказания специальных социальных услуг №2 Абайского района Карагандинской области” Управления</t>
  </si>
  <si>
    <t>КГУ "Общеобразовательная школа №59" отдела образования города Караганды управления образования Карагандинской области</t>
  </si>
  <si>
    <t>КГУ "Гимназия имени Сакена Сейфуллина" отдела образования города Караганды управления образования Карагандинской области</t>
  </si>
  <si>
    <t>КГУ "Общеобразовательная школа №10" отдела образования города Караганды управления образования Карагандинской области</t>
  </si>
  <si>
    <t>КГУ "Общеобразовательная школа №17" отдела образования города Караганды управления образования Карагандинской области</t>
  </si>
  <si>
    <t>КГУ "Общеобразовательная школа №93" Управления образования города Алматы</t>
  </si>
  <si>
    <t>КГУ "Школа-интернат №22" отдела образования города Караганды управления образования Карагандинской области</t>
  </si>
  <si>
    <t>КГУ "Общеобразовательная школа имени Ю.Н.Павлова" отдела образования города Караганды управления образования Карагандинской области</t>
  </si>
  <si>
    <t>ГКП на ПХВ Школа-гимназия №69</t>
  </si>
  <si>
    <t>КГУ "Школа-гимназия №108" Управления образования города Алматы</t>
  </si>
  <si>
    <t>Коммунальное государственное учреждение "Общеобразовательная средняя школа № 56" государственного учреждения "Отдел образования города Акто</t>
  </si>
  <si>
    <t>КГУ "Карагандинская областная психолого- медико- педагогическая консультация №6" управления образования Карагандинской области</t>
  </si>
  <si>
    <t>КГУ "Общеобразовательная школа №28" отдела образования города Темиртау управления образования Карагандинской области</t>
  </si>
  <si>
    <t>КГУ "Школа-лицей №20" отдела образования города Темиртау управления образования Карагандинской области</t>
  </si>
  <si>
    <t>КГУ "Школа-центр дополнительного образования имени Каныша Сатпаева" отдела образования Абайского района управления образования Карагандинско</t>
  </si>
  <si>
    <t>КГУ "Общеобразовательная школа №17" отдела образования города Темиртау управления образования Карагандинской области</t>
  </si>
  <si>
    <t>КГУ "Общеобразовательная школа № 26" отдела образования города Караганды управления образования Карагандинской области</t>
  </si>
  <si>
    <t>КГУ "Общеобразовательная школа № 26</t>
  </si>
  <si>
    <t>Коммунальное государственное учреждение “Центр оказания специальных социальных услуг города Сарани Карагандинской области” Управления коорд</t>
  </si>
  <si>
    <t>Коммунальное государственное учреждение "Средняя школа № 42" государственного учреждения "Отдел образования города Актобе"</t>
  </si>
  <si>
    <t>КГКП КАРАГАНД КОЛЛЕДЖ ИСКУССТВ</t>
  </si>
  <si>
    <t>Коммунальное государственное учреждение "Специализированная школа-лицей-интернат имени Н.Нурмакова" управления образования Карагандинской об</t>
  </si>
  <si>
    <t>КГУ "Центр подготовки олимпийского резерва" ГУ "Управление физической культуры, спорта и туризма Актюбинской области"</t>
  </si>
  <si>
    <t>НАО Каз.нац. исслед тех.унив. имени К.И. Сатпаева</t>
  </si>
  <si>
    <t>Коммунальное государственное учреждение "Средняя школа №15" отдела образования по городу Усть-Каменогорску управления образования Восточно-К</t>
  </si>
  <si>
    <t>КГКП "ЯСЛИ-САД №13 "БАЛАПАН" О</t>
  </si>
  <si>
    <t>Коммунальное государственное учреждение "Актюбинский областной специальный комплекс "школа-интернат-колледж" государственного учреждения "Уп</t>
  </si>
  <si>
    <t>КГУ "Школа-гимназия №53" Управления образования г. Алматы</t>
  </si>
  <si>
    <t>Коммунальное государственное учреждение "Средняя общеобразовательная школа № 40" государственного учреждения "Отдел образования города Актоб</t>
  </si>
  <si>
    <t>КГУ "Школа-гимназия №73" Управления образования города Алматы</t>
  </si>
  <si>
    <t>КГУ "Первый Темиртауский классический лицей" отдела образования города Темиртау управления образования Карагандинской области</t>
  </si>
  <si>
    <t>Коммунальное государственное учреждение "Специальная школа-детский сад №14" отдела образования по городу Усть-Каменогорску управления образо</t>
  </si>
  <si>
    <t>КГУ "Общеобразовательная средняя школа №3 имени Абая" государственного учреждения "Отдел образования по Талгарскому району Управления образо</t>
  </si>
  <si>
    <t>КГУ "Школа – интернат №17" Управления образования города Алматы</t>
  </si>
  <si>
    <t>Коммунальное государственное учреждение "Илекская средняя школа" государственного учреждения "Отдел образования города Актобе"</t>
  </si>
  <si>
    <t>Коммунальное государственное учреждение "Усть-Каменогорский строительно-технический колледж" управления образования Восточно-Казахстанской</t>
  </si>
  <si>
    <t>КГУ "Специализированная школа– лицей-интернат имени Жамбыла" управления образования Карагандинской области</t>
  </si>
  <si>
    <t>КГУ "Лицей №24" Управления образования города Алматы</t>
  </si>
  <si>
    <t>КГУ "Общеобразовательная школа №109" Управления образования города Алматы</t>
  </si>
  <si>
    <t>ГКП на ПХВ "Школа-лицей № 85 имени шейха Тамима бен Хамада аль-Тани" акимата города Астана</t>
  </si>
  <si>
    <t>КГУ Общеобразовательная школа №149 Управления образования г. Алматы</t>
  </si>
  <si>
    <t>Коммунальное государственное учреждение "Школа - гимназия №202" Управления образования города Алматы</t>
  </si>
  <si>
    <t>КГУ "Общеобразовательная школа № 74 имени С.Сейфуллина" Управления
образования города Алматы</t>
  </si>
  <si>
    <t>КГУ "Гимназия №138 имени М.Базарбаева" Управления образования города Алматы</t>
  </si>
  <si>
    <t>Коммунальное государственное учреждение "Средняя школа № 18" государственного учреждения "Отдел образования города Актобе"</t>
  </si>
  <si>
    <t>КГУ "Школа–гимназия №81" Управления образования города Алматы</t>
  </si>
  <si>
    <t>Коммунальное государственное учреждение "Средняя общеобразовательная школа № 53" государственного учреждения "Отдел образования города Актоб</t>
  </si>
  <si>
    <t>АО УМЗ</t>
  </si>
  <si>
    <t>КГУ "Гимназия №35" Управления образования города Алматы</t>
  </si>
  <si>
    <t>Коммунальное государственное учреждение "Средняя школа № 22" государственного учреждения "Отдел образования города Актобе"</t>
  </si>
  <si>
    <t>Коммунальное государственное учреждение "Школа -гимназия №212" Управление образования города Алматы</t>
  </si>
  <si>
    <t>Коммунальное государственное учреждение "Актюбинский областной специальный детский сад "Нектар" государственного учреждения "Управление обра</t>
  </si>
  <si>
    <t>КГУ "Общеобразовательная школа №2" Управления образования города Алматы</t>
  </si>
  <si>
    <t>Коммунальное государственное учреждение "Школа – гимназия №174" Управления образования города Алматы"</t>
  </si>
  <si>
    <t>КГКП ясли-сад Балауса-Балєын ООТарбагатайскому району УО ВКО</t>
  </si>
  <si>
    <t>КГУ "Специализированная школа–лицей №90" Управления образования города Алматы</t>
  </si>
  <si>
    <t>КГУ "Общеобразовательная школа №160" Управления образования города Алматы</t>
  </si>
  <si>
    <t>Коммунальное государственное казенное предприятие "Ясли-сад №46" Управления образования города Алматы</t>
  </si>
  <si>
    <t>КГУ "Общеобразовательная школа № 84" Управления образования города Алматы</t>
  </si>
  <si>
    <t>Коммунальное государственное учреждение "Кабинет психолого- педагогической коррекции № 5" акимата города Астаны</t>
  </si>
  <si>
    <t>Коммунальное государственное учреждение “Специальная школа” управления образования Восточно-Казахстанской области</t>
  </si>
  <si>
    <t>КГУ "Школа-гимназия №68" Управления образования города Алматы</t>
  </si>
  <si>
    <t>Коммунальное государственное учреждение "Школа-лицей №207" Управления оброзования города Алматы</t>
  </si>
  <si>
    <t>Коммунальное государственное учреждение "Школа-гимназия №168 имени Касыл Катыкбаевой" Управления образования города Алматы</t>
  </si>
  <si>
    <t>КГУ "Общеобразовательная школа №40" Управления образования города Алматы</t>
  </si>
  <si>
    <t>КГКП ясли-сад Балауса-Балғын ООТарбагатайскому району УО ВКО</t>
  </si>
  <si>
    <t>КГУ "Общеобразовательная школа №69" Управления образования города Алматы</t>
  </si>
  <si>
    <t>КГУ "Общеобразовательная школа №97" Управления образования города Алматы</t>
  </si>
  <si>
    <t>КГУ “Восточно-Казахстанская областная специализированная детско-юношеская школа Олимпийского резерва по единоборствам имени Кажымукана” упра</t>
  </si>
  <si>
    <t>КГУ "Школа-гимназия № 78" Управления образования города Алматы</t>
  </si>
  <si>
    <t>Митянина Екатерина</t>
  </si>
  <si>
    <t xml:space="preserve">Сойнова Инна </t>
  </si>
  <si>
    <t xml:space="preserve">Митянина  Екатерина </t>
  </si>
  <si>
    <t>КГУ "КАБИНЕТ ПСИХОЛОГО-ПЕДАГОГИЧЕСКОЙ КОРРЕКЦИИ № 5" АКИМАТА ГОРОДА АСТАНЫ</t>
  </si>
  <si>
    <t>30 04 26</t>
  </si>
  <si>
    <t xml:space="preserve">30 04 26 </t>
  </si>
  <si>
    <t>Товарищество с ограниченной ответственностью "Детский сад "Армашка"</t>
  </si>
  <si>
    <t xml:space="preserve">физ лицо </t>
  </si>
  <si>
    <t xml:space="preserve">Митянина Екатерина </t>
  </si>
  <si>
    <t>Сергей Котельников</t>
  </si>
  <si>
    <t>Макпал Сансызбеккызы</t>
  </si>
  <si>
    <t>Назира Кожаева</t>
  </si>
  <si>
    <t>Дулат Малик</t>
  </si>
  <si>
    <t>Сергей Котельиков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</si>
</sst>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.00\ _₽_-;\-* #,##0.00\ _₽_-;_-* &quot;-&quot;??\ _₽_-;_-@_-"/>
    <numFmt numFmtId="165" formatCode="_-* #,##0\ _₽_-;\-* #,##0\ _₽_-;_-* &quot;-&quot;??\ _₽_-;_-@_-"/>
    <numFmt numFmtId="166" formatCode="0.0%"/>
    <numFmt numFmtId="167" formatCode="dd\.mm\.yyyy"/>
    <numFmt numFmtId="168" formatCode="_-* #\ ##0.00\ _₽_-;\-* #\ ##0.00\ _₽_-;_-* &quot;-&quot;??\ _₽_-;_-@_-"/>
    <numFmt numFmtId="169" formatCode="_-* #\ ##0\ _₽_-;\-* #\ ##0\ _₽_-;_-* &quot;-&quot;??\ _₽_-;_-@_-"/>
  </numFmts>
  <fonts count="50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sz val="6"/>
      <name val="Arial"/>
      <family val="2"/>
      <charset val="204"/>
    </font>
    <font>
      <sz val="9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8"/>
      <name val="Arial"/>
      <family val="2"/>
      <charset val="204"/>
    </font>
    <font>
      <b/>
      <sz val="8"/>
      <name val="Arial"/>
      <family val="2"/>
      <charset val="204"/>
    </font>
    <font>
      <sz val="9"/>
      <name val="DejaVu Sans Mono"/>
      <family val="2"/>
    </font>
    <font>
      <sz val="10"/>
      <color rgb="FF333333"/>
      <name val="Times New Roman"/>
      <family val="1"/>
      <charset val="204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name val="Arial"/>
      <family val="2"/>
      <charset val="204"/>
    </font>
    <font>
      <b/>
      <sz val="11"/>
      <color theme="1"/>
      <name val="Bahnschrift Light"/>
      <family val="2"/>
      <charset val="204"/>
    </font>
    <font>
      <sz val="11"/>
      <color theme="1"/>
      <name val="Calibri"/>
      <family val="2"/>
      <charset val="204"/>
    </font>
    <font>
      <sz val="9"/>
      <color theme="1"/>
      <name val="Calibri"/>
      <family val="2"/>
      <charset val="204"/>
      <scheme val="minor"/>
    </font>
    <font>
      <sz val="8"/>
      <color theme="1"/>
      <name val="Arial"/>
      <family val="2"/>
      <charset val="204"/>
    </font>
    <font>
      <sz val="9"/>
      <color theme="1"/>
      <name val="Arial"/>
      <family val="2"/>
      <charset val="204"/>
    </font>
    <font>
      <sz val="10"/>
      <color theme="1"/>
      <name val="Arial"/>
      <family val="2"/>
      <charset val="204"/>
    </font>
    <font>
      <sz val="11"/>
      <color rgb="FF000000"/>
      <name val="Calibri"/>
      <family val="2"/>
      <charset val="204"/>
    </font>
    <font>
      <sz val="11"/>
      <color rgb="FF000000"/>
      <name val="Calibri"/>
      <family val="2"/>
      <charset val="204"/>
    </font>
    <font>
      <sz val="10"/>
      <color theme="1"/>
      <name val="Calibri"/>
      <family val="2"/>
      <charset val="204"/>
      <scheme val="minor"/>
    </font>
    <font>
      <sz val="11"/>
      <name val="Calibri"/>
      <family val="2"/>
      <charset val="204"/>
    </font>
    <font>
      <sz val="9"/>
      <color theme="1"/>
      <name val="DejaVu Sans Mono"/>
    </font>
    <font>
      <b/>
      <sz val="10"/>
      <color rgb="FF000000"/>
      <name val="Calibri"/>
      <family val="2"/>
      <charset val="204"/>
    </font>
    <font>
      <sz val="11"/>
      <color rgb="FF000000"/>
      <name val="Times New Roman"/>
      <family val="1"/>
      <charset val="204"/>
    </font>
    <font>
      <sz val="10"/>
      <color rgb="FF000000"/>
      <name val="Calibri"/>
      <family val="2"/>
      <charset val="204"/>
    </font>
    <font>
      <sz val="10"/>
      <color rgb="FF000000"/>
      <name val="Times New Roman"/>
      <family val="1"/>
      <charset val="204"/>
    </font>
    <font>
      <sz val="9"/>
      <color theme="1"/>
      <name val="DejaVu Sans Mono"/>
      <charset val="134"/>
    </font>
    <font>
      <sz val="10"/>
      <name val="Arial"/>
      <family val="2"/>
      <charset val="204"/>
    </font>
    <font>
      <sz val="9"/>
      <name val="Arial"/>
      <family val="2"/>
      <charset val="204"/>
    </font>
    <font>
      <sz val="11"/>
      <name val="Times New Roman"/>
      <family val="1"/>
      <charset val="204"/>
    </font>
  </fonts>
  <fills count="40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B050"/>
        <bgColor rgb="FF000000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73">
    <xf numFmtId="0" fontId="0" fillId="0" borderId="0"/>
    <xf numFmtId="0" fontId="3" fillId="0" borderId="2" applyNumberFormat="0" applyFill="0" applyProtection="0">
      <alignment horizontal="center" vertical="center"/>
    </xf>
    <xf numFmtId="0" fontId="3" fillId="0" borderId="2" applyNumberFormat="0" applyFill="0" applyProtection="0">
      <alignment horizontal="center" vertical="center" wrapText="1"/>
    </xf>
    <xf numFmtId="164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7" applyNumberFormat="0" applyFill="0" applyAlignment="0" applyProtection="0"/>
    <xf numFmtId="0" fontId="11" fillId="0" borderId="8" applyNumberFormat="0" applyFill="0" applyAlignment="0" applyProtection="0"/>
    <xf numFmtId="0" fontId="12" fillId="0" borderId="9" applyNumberFormat="0" applyFill="0" applyAlignment="0" applyProtection="0"/>
    <xf numFmtId="0" fontId="12" fillId="0" borderId="0" applyNumberFormat="0" applyFill="0" applyBorder="0" applyAlignment="0" applyProtection="0"/>
    <xf numFmtId="0" fontId="13" fillId="6" borderId="0" applyNumberFormat="0" applyBorder="0" applyAlignment="0" applyProtection="0"/>
    <xf numFmtId="0" fontId="14" fillId="7" borderId="0" applyNumberFormat="0" applyBorder="0" applyAlignment="0" applyProtection="0"/>
    <xf numFmtId="0" fontId="15" fillId="8" borderId="0" applyNumberFormat="0" applyBorder="0" applyAlignment="0" applyProtection="0"/>
    <xf numFmtId="0" fontId="16" fillId="9" borderId="10" applyNumberFormat="0" applyAlignment="0" applyProtection="0"/>
    <xf numFmtId="0" fontId="17" fillId="10" borderId="11" applyNumberFormat="0" applyAlignment="0" applyProtection="0"/>
    <xf numFmtId="0" fontId="18" fillId="10" borderId="10" applyNumberFormat="0" applyAlignment="0" applyProtection="0"/>
    <xf numFmtId="0" fontId="19" fillId="0" borderId="12" applyNumberFormat="0" applyFill="0" applyAlignment="0" applyProtection="0"/>
    <xf numFmtId="0" fontId="20" fillId="11" borderId="13" applyNumberFormat="0" applyAlignment="0" applyProtection="0"/>
    <xf numFmtId="0" fontId="21" fillId="0" borderId="0" applyNumberFormat="0" applyFill="0" applyBorder="0" applyAlignment="0" applyProtection="0"/>
    <xf numFmtId="0" fontId="6" fillId="12" borderId="14" applyNumberFormat="0" applyFont="0" applyAlignment="0" applyProtection="0"/>
    <xf numFmtId="0" fontId="22" fillId="0" borderId="0" applyNumberFormat="0" applyFill="0" applyBorder="0" applyAlignment="0" applyProtection="0"/>
    <xf numFmtId="0" fontId="1" fillId="0" borderId="15" applyNumberFormat="0" applyFill="0" applyAlignment="0" applyProtection="0"/>
    <xf numFmtId="0" fontId="23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23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23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23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23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23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24" fillId="0" borderId="0" applyNumberFormat="0" applyFill="0" applyBorder="0" applyProtection="0">
      <alignment horizontal="justify" vertical="distributed" wrapText="1"/>
    </xf>
    <xf numFmtId="0" fontId="24" fillId="0" borderId="0" applyNumberFormat="0" applyFill="0" applyBorder="0" applyProtection="0">
      <alignment horizontal="right" vertical="center"/>
    </xf>
    <xf numFmtId="0" fontId="24" fillId="0" borderId="0" applyNumberFormat="0" applyFill="0" applyBorder="0" applyProtection="0">
      <alignment vertical="center"/>
    </xf>
    <xf numFmtId="0" fontId="24" fillId="0" borderId="0" applyNumberFormat="0" applyFill="0" applyBorder="0" applyProtection="0">
      <alignment horizontal="center"/>
    </xf>
    <xf numFmtId="0" fontId="25" fillId="0" borderId="0" applyNumberFormat="0" applyFill="0" applyBorder="0" applyProtection="0">
      <alignment horizontal="center"/>
    </xf>
    <xf numFmtId="0" fontId="24" fillId="0" borderId="16" applyNumberFormat="0" applyFill="0" applyProtection="0">
      <alignment vertical="center"/>
    </xf>
    <xf numFmtId="0" fontId="28" fillId="0" borderId="0"/>
    <xf numFmtId="164" fontId="28" fillId="0" borderId="0" applyFont="0" applyFill="0" applyBorder="0" applyAlignment="0" applyProtection="0"/>
    <xf numFmtId="164" fontId="28" fillId="0" borderId="0" applyFont="0" applyFill="0" applyBorder="0" applyAlignment="0" applyProtection="0"/>
    <xf numFmtId="0" fontId="29" fillId="0" borderId="0"/>
    <xf numFmtId="0" fontId="30" fillId="0" borderId="0" applyNumberFormat="0" applyFill="0" applyBorder="0" applyProtection="0">
      <alignment horizontal="justify" vertical="distributed" wrapText="1"/>
    </xf>
    <xf numFmtId="0" fontId="30" fillId="0" borderId="0" applyNumberFormat="0" applyFill="0" applyBorder="0" applyProtection="0">
      <alignment horizontal="right" vertical="center"/>
    </xf>
    <xf numFmtId="0" fontId="30" fillId="0" borderId="0" applyNumberFormat="0" applyFill="0" applyBorder="0" applyProtection="0">
      <alignment vertical="center"/>
    </xf>
    <xf numFmtId="0" fontId="28" fillId="0" borderId="0"/>
    <xf numFmtId="0" fontId="40" fillId="0" borderId="0">
      <alignment vertical="center"/>
    </xf>
    <xf numFmtId="164" fontId="37" fillId="0" borderId="0">
      <alignment vertical="top"/>
      <protection locked="0"/>
    </xf>
    <xf numFmtId="0" fontId="37" fillId="0" borderId="0">
      <protection locked="0"/>
    </xf>
    <xf numFmtId="0" fontId="37" fillId="0" borderId="0">
      <protection locked="0"/>
    </xf>
    <xf numFmtId="0" fontId="24" fillId="0" borderId="0" applyNumberFormat="0" applyFill="0" applyBorder="0" applyProtection="0">
      <alignment horizontal="justify" vertical="distributed" wrapText="1"/>
    </xf>
    <xf numFmtId="0" fontId="24" fillId="0" borderId="0" applyNumberFormat="0" applyFill="0" applyBorder="0" applyProtection="0">
      <alignment horizontal="right" vertical="center"/>
    </xf>
    <xf numFmtId="0" fontId="24" fillId="0" borderId="0" applyNumberFormat="0" applyFill="0" applyBorder="0" applyProtection="0">
      <alignment vertical="center"/>
    </xf>
    <xf numFmtId="168" fontId="6" fillId="0" borderId="0" applyFont="0" applyFill="0" applyBorder="0" applyAlignment="0" applyProtection="0"/>
    <xf numFmtId="0" fontId="32" fillId="0" borderId="0"/>
    <xf numFmtId="0" fontId="6" fillId="0" borderId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37" fillId="0" borderId="0">
      <alignment vertical="top"/>
      <protection locked="0"/>
    </xf>
    <xf numFmtId="0" fontId="6" fillId="0" borderId="0"/>
  </cellStyleXfs>
  <cellXfs count="248">
    <xf numFmtId="0" fontId="0" fillId="0" borderId="0" xfId="0"/>
    <xf numFmtId="0" fontId="4" fillId="0" borderId="2" xfId="2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0" fontId="1" fillId="0" borderId="1" xfId="0" applyFont="1" applyFill="1" applyBorder="1"/>
    <xf numFmtId="0" fontId="0" fillId="0" borderId="1" xfId="0" applyFill="1" applyBorder="1" applyAlignment="1">
      <alignment horizontal="center"/>
    </xf>
    <xf numFmtId="0" fontId="0" fillId="0" borderId="0" xfId="0" applyFill="1"/>
    <xf numFmtId="2" fontId="0" fillId="0" borderId="0" xfId="0" applyNumberFormat="1" applyAlignment="1">
      <alignment horizontal="center"/>
    </xf>
    <xf numFmtId="2" fontId="0" fillId="0" borderId="4" xfId="0" applyNumberFormat="1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49" fontId="4" fillId="0" borderId="2" xfId="1" applyNumberFormat="1" applyFont="1" applyFill="1" applyBorder="1" applyAlignment="1">
      <alignment horizontal="center" vertical="center"/>
    </xf>
    <xf numFmtId="0" fontId="8" fillId="2" borderId="5" xfId="0" applyFont="1" applyFill="1" applyBorder="1"/>
    <xf numFmtId="0" fontId="8" fillId="2" borderId="5" xfId="0" applyFont="1" applyFill="1" applyBorder="1" applyAlignment="1"/>
    <xf numFmtId="165" fontId="8" fillId="3" borderId="5" xfId="3" applyNumberFormat="1" applyFont="1" applyFill="1" applyBorder="1" applyAlignment="1">
      <alignment horizontal="center" vertical="center"/>
    </xf>
    <xf numFmtId="164" fontId="8" fillId="3" borderId="5" xfId="3" applyFont="1" applyFill="1" applyBorder="1" applyAlignment="1">
      <alignment horizontal="center" vertical="center"/>
    </xf>
    <xf numFmtId="165" fontId="8" fillId="3" borderId="5" xfId="3" applyNumberFormat="1" applyFont="1" applyFill="1" applyBorder="1" applyAlignment="1">
      <alignment vertical="center"/>
    </xf>
    <xf numFmtId="0" fontId="0" fillId="3" borderId="5" xfId="0" applyFill="1" applyBorder="1"/>
    <xf numFmtId="165" fontId="0" fillId="3" borderId="5" xfId="0" applyNumberFormat="1" applyFill="1" applyBorder="1"/>
    <xf numFmtId="164" fontId="0" fillId="3" borderId="5" xfId="3" applyFont="1" applyFill="1" applyBorder="1" applyAlignment="1"/>
    <xf numFmtId="9" fontId="8" fillId="3" borderId="5" xfId="0" applyNumberFormat="1" applyFont="1" applyFill="1" applyBorder="1"/>
    <xf numFmtId="164" fontId="8" fillId="3" borderId="5" xfId="0" applyNumberFormat="1" applyFont="1" applyFill="1" applyBorder="1" applyAlignment="1">
      <alignment horizontal="center" vertical="center"/>
    </xf>
    <xf numFmtId="165" fontId="8" fillId="3" borderId="5" xfId="0" applyNumberFormat="1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8" fillId="4" borderId="5" xfId="0" applyFont="1" applyFill="1" applyBorder="1" applyAlignment="1">
      <alignment horizontal="left"/>
    </xf>
    <xf numFmtId="9" fontId="8" fillId="4" borderId="5" xfId="0" applyNumberFormat="1" applyFont="1" applyFill="1" applyBorder="1"/>
    <xf numFmtId="164" fontId="8" fillId="4" borderId="5" xfId="0" applyNumberFormat="1" applyFont="1" applyFill="1" applyBorder="1" applyAlignment="1">
      <alignment horizontal="center" vertical="center"/>
    </xf>
    <xf numFmtId="164" fontId="8" fillId="2" borderId="5" xfId="0" applyNumberFormat="1" applyFont="1" applyFill="1" applyBorder="1" applyAlignment="1">
      <alignment horizontal="center" vertical="center"/>
    </xf>
    <xf numFmtId="0" fontId="8" fillId="0" borderId="0" xfId="0" applyFont="1"/>
    <xf numFmtId="165" fontId="8" fillId="4" borderId="5" xfId="0" applyNumberFormat="1" applyFont="1" applyFill="1" applyBorder="1" applyAlignment="1">
      <alignment horizontal="center" vertical="center"/>
    </xf>
    <xf numFmtId="165" fontId="8" fillId="2" borderId="5" xfId="0" applyNumberFormat="1" applyFont="1" applyFill="1" applyBorder="1" applyAlignment="1">
      <alignment horizontal="center" vertical="center"/>
    </xf>
    <xf numFmtId="165" fontId="0" fillId="0" borderId="0" xfId="3" applyNumberFormat="1" applyFont="1" applyAlignment="1">
      <alignment horizontal="center"/>
    </xf>
    <xf numFmtId="0" fontId="1" fillId="5" borderId="1" xfId="0" applyFont="1" applyFill="1" applyBorder="1"/>
    <xf numFmtId="0" fontId="0" fillId="5" borderId="16" xfId="0" applyFill="1" applyBorder="1"/>
    <xf numFmtId="2" fontId="0" fillId="5" borderId="16" xfId="0" applyNumberFormat="1" applyFill="1" applyBorder="1" applyAlignment="1">
      <alignment horizontal="center"/>
    </xf>
    <xf numFmtId="0" fontId="0" fillId="5" borderId="16" xfId="0" applyFill="1" applyBorder="1" applyAlignment="1">
      <alignment horizontal="center"/>
    </xf>
    <xf numFmtId="49" fontId="4" fillId="5" borderId="16" xfId="1" applyNumberFormat="1" applyFont="1" applyFill="1" applyBorder="1" applyAlignment="1">
      <alignment horizontal="center" vertical="center"/>
    </xf>
    <xf numFmtId="0" fontId="7" fillId="5" borderId="16" xfId="0" applyFont="1" applyFill="1" applyBorder="1" applyAlignment="1">
      <alignment horizontal="center" vertical="center" wrapText="1"/>
    </xf>
    <xf numFmtId="164" fontId="0" fillId="0" borderId="0" xfId="0" applyNumberFormat="1"/>
    <xf numFmtId="1" fontId="0" fillId="0" borderId="16" xfId="0" applyNumberFormat="1" applyBorder="1"/>
    <xf numFmtId="164" fontId="0" fillId="0" borderId="0" xfId="3" applyFont="1"/>
    <xf numFmtId="0" fontId="0" fillId="0" borderId="0" xfId="0" applyBorder="1"/>
    <xf numFmtId="0" fontId="0" fillId="0" borderId="16" xfId="0" applyFill="1" applyBorder="1"/>
    <xf numFmtId="0" fontId="7" fillId="5" borderId="16" xfId="51" applyFont="1" applyFill="1" applyBorder="1" applyAlignment="1">
      <alignment horizontal="center" vertical="center" wrapText="1"/>
    </xf>
    <xf numFmtId="10" fontId="8" fillId="5" borderId="16" xfId="0" applyNumberFormat="1" applyFont="1" applyFill="1" applyBorder="1"/>
    <xf numFmtId="0" fontId="0" fillId="0" borderId="0" xfId="0"/>
    <xf numFmtId="0" fontId="0" fillId="3" borderId="16" xfId="0" applyFill="1" applyBorder="1"/>
    <xf numFmtId="164" fontId="0" fillId="0" borderId="0" xfId="0" applyNumberFormat="1"/>
    <xf numFmtId="0" fontId="5" fillId="5" borderId="16" xfId="0" applyFont="1" applyFill="1" applyBorder="1" applyAlignment="1">
      <alignment horizontal="center"/>
    </xf>
    <xf numFmtId="0" fontId="31" fillId="37" borderId="16" xfId="0" applyFont="1" applyFill="1" applyBorder="1" applyAlignment="1">
      <alignment horizontal="center" vertical="center" wrapText="1"/>
    </xf>
    <xf numFmtId="0" fontId="0" fillId="0" borderId="16" xfId="0" applyBorder="1" applyAlignment="1">
      <alignment horizontal="left"/>
    </xf>
    <xf numFmtId="164" fontId="0" fillId="5" borderId="16" xfId="53" applyFont="1" applyFill="1" applyBorder="1"/>
    <xf numFmtId="0" fontId="0" fillId="4" borderId="16" xfId="0" applyFill="1" applyBorder="1" applyAlignment="1">
      <alignment horizontal="left"/>
    </xf>
    <xf numFmtId="164" fontId="0" fillId="4" borderId="16" xfId="53" applyFont="1" applyFill="1" applyBorder="1"/>
    <xf numFmtId="0" fontId="0" fillId="3" borderId="16" xfId="0" applyFill="1" applyBorder="1" applyAlignment="1">
      <alignment horizontal="left"/>
    </xf>
    <xf numFmtId="164" fontId="0" fillId="3" borderId="16" xfId="53" applyFont="1" applyFill="1" applyBorder="1"/>
    <xf numFmtId="0" fontId="0" fillId="0" borderId="16" xfId="0" applyBorder="1"/>
    <xf numFmtId="0" fontId="0" fillId="4" borderId="16" xfId="0" applyFill="1" applyBorder="1"/>
    <xf numFmtId="164" fontId="0" fillId="0" borderId="16" xfId="3" applyFont="1" applyBorder="1"/>
    <xf numFmtId="164" fontId="0" fillId="3" borderId="16" xfId="3" applyFont="1" applyFill="1" applyBorder="1"/>
    <xf numFmtId="164" fontId="0" fillId="0" borderId="16" xfId="0" applyNumberFormat="1" applyBorder="1"/>
    <xf numFmtId="10" fontId="0" fillId="0" borderId="16" xfId="0" applyNumberFormat="1" applyBorder="1"/>
    <xf numFmtId="164" fontId="0" fillId="4" borderId="16" xfId="3" applyFont="1" applyFill="1" applyBorder="1"/>
    <xf numFmtId="164" fontId="32" fillId="0" borderId="16" xfId="3" applyFont="1" applyBorder="1" applyAlignment="1">
      <alignment wrapText="1"/>
    </xf>
    <xf numFmtId="164" fontId="28" fillId="0" borderId="16" xfId="3" applyFont="1" applyBorder="1"/>
    <xf numFmtId="164" fontId="28" fillId="0" borderId="16" xfId="3" applyFont="1" applyBorder="1" applyAlignment="1">
      <alignment wrapText="1"/>
    </xf>
    <xf numFmtId="9" fontId="0" fillId="0" borderId="0" xfId="3" applyNumberFormat="1" applyFont="1"/>
    <xf numFmtId="2" fontId="0" fillId="0" borderId="16" xfId="0" applyNumberFormat="1" applyBorder="1"/>
    <xf numFmtId="164" fontId="0" fillId="0" borderId="16" xfId="3" applyFont="1" applyFill="1" applyBorder="1"/>
    <xf numFmtId="9" fontId="31" fillId="37" borderId="16" xfId="0" applyNumberFormat="1" applyFont="1" applyFill="1" applyBorder="1" applyAlignment="1">
      <alignment horizontal="center" vertical="center" wrapText="1"/>
    </xf>
    <xf numFmtId="0" fontId="0" fillId="0" borderId="0" xfId="0"/>
    <xf numFmtId="0" fontId="26" fillId="0" borderId="16" xfId="0" applyFont="1" applyBorder="1" applyAlignment="1">
      <alignment horizontal="center" vertical="center" wrapText="1" indent="1" justifyLastLine="1"/>
    </xf>
    <xf numFmtId="1" fontId="0" fillId="0" borderId="16" xfId="0" applyNumberFormat="1" applyBorder="1" applyAlignment="1">
      <alignment horizontal="center"/>
    </xf>
    <xf numFmtId="0" fontId="0" fillId="5" borderId="16" xfId="0" applyFill="1" applyBorder="1" applyAlignment="1">
      <alignment horizontal="left"/>
    </xf>
    <xf numFmtId="0" fontId="7" fillId="0" borderId="16" xfId="58" applyFont="1" applyBorder="1" applyAlignment="1">
      <alignment horizontal="center" vertical="center" wrapText="1"/>
    </xf>
    <xf numFmtId="1" fontId="27" fillId="0" borderId="16" xfId="58" applyNumberFormat="1" applyFont="1" applyBorder="1" applyAlignment="1">
      <alignment horizontal="center" vertical="center" wrapText="1"/>
    </xf>
    <xf numFmtId="0" fontId="0" fillId="0" borderId="16" xfId="0" applyBorder="1" applyAlignment="1">
      <alignment horizontal="center"/>
    </xf>
    <xf numFmtId="49" fontId="0" fillId="0" borderId="16" xfId="0" applyNumberFormat="1" applyBorder="1" applyAlignment="1">
      <alignment horizontal="center"/>
    </xf>
    <xf numFmtId="0" fontId="0" fillId="0" borderId="16" xfId="0" applyFill="1" applyBorder="1" applyAlignment="1">
      <alignment horizontal="center"/>
    </xf>
    <xf numFmtId="49" fontId="4" fillId="0" borderId="16" xfId="1" applyNumberFormat="1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/>
    </xf>
    <xf numFmtId="164" fontId="0" fillId="0" borderId="16" xfId="0" applyNumberFormat="1" applyFill="1" applyBorder="1"/>
    <xf numFmtId="0" fontId="4" fillId="0" borderId="16" xfId="2" applyFont="1" applyFill="1" applyBorder="1">
      <alignment horizontal="center" vertical="center" wrapText="1"/>
    </xf>
    <xf numFmtId="49" fontId="4" fillId="0" borderId="16" xfId="1" applyNumberFormat="1" applyFont="1" applyFill="1" applyBorder="1">
      <alignment horizontal="center" vertical="center"/>
    </xf>
    <xf numFmtId="14" fontId="4" fillId="0" borderId="16" xfId="2" applyNumberFormat="1" applyFont="1" applyFill="1" applyBorder="1">
      <alignment horizontal="center" vertical="center" wrapText="1"/>
    </xf>
    <xf numFmtId="165" fontId="8" fillId="3" borderId="5" xfId="3" applyNumberFormat="1" applyFont="1" applyFill="1" applyBorder="1" applyAlignment="1">
      <alignment horizontal="center" vertical="center"/>
    </xf>
    <xf numFmtId="14" fontId="26" fillId="0" borderId="16" xfId="0" applyNumberFormat="1" applyFont="1" applyBorder="1" applyAlignment="1">
      <alignment horizontal="center" vertical="center" wrapText="1" indent="1" justifyLastLine="1"/>
    </xf>
    <xf numFmtId="0" fontId="2" fillId="2" borderId="16" xfId="0" applyFont="1" applyFill="1" applyBorder="1" applyAlignment="1">
      <alignment horizontal="center"/>
    </xf>
    <xf numFmtId="49" fontId="2" fillId="2" borderId="16" xfId="0" applyNumberFormat="1" applyFont="1" applyFill="1" applyBorder="1" applyAlignment="1">
      <alignment horizontal="center"/>
    </xf>
    <xf numFmtId="0" fontId="2" fillId="2" borderId="16" xfId="0" applyFont="1" applyFill="1" applyBorder="1" applyAlignment="1">
      <alignment horizontal="center" wrapText="1"/>
    </xf>
    <xf numFmtId="2" fontId="2" fillId="2" borderId="16" xfId="0" applyNumberFormat="1" applyFont="1" applyFill="1" applyBorder="1" applyAlignment="1">
      <alignment horizontal="center"/>
    </xf>
    <xf numFmtId="164" fontId="0" fillId="0" borderId="16" xfId="53" applyFont="1" applyFill="1" applyBorder="1"/>
    <xf numFmtId="0" fontId="0" fillId="5" borderId="16" xfId="0" applyFill="1" applyBorder="1" applyAlignment="1">
      <alignment wrapText="1"/>
    </xf>
    <xf numFmtId="0" fontId="0" fillId="0" borderId="0" xfId="0" applyAlignment="1">
      <alignment horizontal="center"/>
    </xf>
    <xf numFmtId="0" fontId="5" fillId="2" borderId="3" xfId="0" applyFont="1" applyFill="1" applyBorder="1" applyAlignment="1">
      <alignment horizontal="center"/>
    </xf>
    <xf numFmtId="165" fontId="5" fillId="2" borderId="3" xfId="3" applyNumberFormat="1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164" fontId="5" fillId="2" borderId="3" xfId="3" applyFont="1" applyFill="1" applyBorder="1" applyAlignment="1">
      <alignment horizontal="center"/>
    </xf>
    <xf numFmtId="164" fontId="5" fillId="0" borderId="16" xfId="3" applyFont="1" applyFill="1" applyBorder="1" applyAlignment="1">
      <alignment horizontal="center"/>
    </xf>
    <xf numFmtId="165" fontId="5" fillId="0" borderId="16" xfId="3" applyNumberFormat="1" applyFont="1" applyBorder="1"/>
    <xf numFmtId="165" fontId="5" fillId="0" borderId="16" xfId="3" applyNumberFormat="1" applyFont="1" applyBorder="1" applyAlignment="1">
      <alignment horizontal="right"/>
    </xf>
    <xf numFmtId="0" fontId="1" fillId="5" borderId="16" xfId="0" applyFont="1" applyFill="1" applyBorder="1"/>
    <xf numFmtId="0" fontId="1" fillId="0" borderId="16" xfId="0" applyFont="1" applyFill="1" applyBorder="1"/>
    <xf numFmtId="0" fontId="1" fillId="0" borderId="3" xfId="0" applyFont="1" applyFill="1" applyBorder="1"/>
    <xf numFmtId="0" fontId="0" fillId="0" borderId="4" xfId="0" applyBorder="1"/>
    <xf numFmtId="164" fontId="0" fillId="2" borderId="16" xfId="53" applyFont="1" applyFill="1" applyBorder="1"/>
    <xf numFmtId="164" fontId="33" fillId="2" borderId="3" xfId="3" applyFont="1" applyFill="1" applyBorder="1" applyAlignment="1">
      <alignment horizontal="center"/>
    </xf>
    <xf numFmtId="0" fontId="34" fillId="38" borderId="16" xfId="0" applyFont="1" applyFill="1" applyBorder="1" applyAlignment="1">
      <alignment wrapText="1"/>
    </xf>
    <xf numFmtId="0" fontId="34" fillId="38" borderId="16" xfId="0" applyFont="1" applyFill="1" applyBorder="1" applyAlignment="1">
      <alignment horizontal="center" wrapText="1"/>
    </xf>
    <xf numFmtId="0" fontId="36" fillId="0" borderId="16" xfId="0" applyFont="1" applyBorder="1" applyAlignment="1">
      <alignment horizontal="center" wrapText="1"/>
    </xf>
    <xf numFmtId="0" fontId="36" fillId="0" borderId="16" xfId="0" applyFont="1" applyBorder="1" applyAlignment="1">
      <alignment wrapText="1"/>
    </xf>
    <xf numFmtId="14" fontId="32" fillId="0" borderId="16" xfId="0" applyNumberFormat="1" applyFont="1" applyBorder="1" applyAlignment="1">
      <alignment horizontal="right" wrapText="1"/>
    </xf>
    <xf numFmtId="0" fontId="0" fillId="5" borderId="4" xfId="0" applyFill="1" applyBorder="1" applyAlignment="1">
      <alignment horizontal="center"/>
    </xf>
    <xf numFmtId="0" fontId="1" fillId="5" borderId="4" xfId="0" applyFont="1" applyFill="1" applyBorder="1"/>
    <xf numFmtId="0" fontId="0" fillId="5" borderId="4" xfId="0" applyFill="1" applyBorder="1" applyAlignment="1">
      <alignment wrapText="1"/>
    </xf>
    <xf numFmtId="1" fontId="0" fillId="0" borderId="4" xfId="0" applyNumberFormat="1" applyBorder="1" applyAlignment="1">
      <alignment wrapText="1"/>
    </xf>
    <xf numFmtId="2" fontId="0" fillId="5" borderId="4" xfId="0" applyNumberFormat="1" applyFill="1" applyBorder="1" applyAlignment="1">
      <alignment horizontal="center"/>
    </xf>
    <xf numFmtId="165" fontId="8" fillId="3" borderId="5" xfId="3" applyNumberFormat="1" applyFont="1" applyFill="1" applyBorder="1" applyAlignment="1">
      <alignment horizontal="center" vertical="center"/>
    </xf>
    <xf numFmtId="0" fontId="34" fillId="38" borderId="21" xfId="0" applyFont="1" applyFill="1" applyBorder="1" applyAlignment="1">
      <alignment wrapText="1"/>
    </xf>
    <xf numFmtId="0" fontId="34" fillId="38" borderId="21" xfId="0" applyFont="1" applyFill="1" applyBorder="1" applyAlignment="1">
      <alignment horizontal="center" wrapText="1"/>
    </xf>
    <xf numFmtId="0" fontId="36" fillId="0" borderId="18" xfId="0" applyFont="1" applyBorder="1" applyAlignment="1">
      <alignment horizontal="center" wrapText="1"/>
    </xf>
    <xf numFmtId="0" fontId="38" fillId="0" borderId="17" xfId="0" applyFont="1" applyBorder="1"/>
    <xf numFmtId="0" fontId="39" fillId="0" borderId="17" xfId="0" applyFont="1" applyBorder="1"/>
    <xf numFmtId="164" fontId="0" fillId="0" borderId="16" xfId="3" applyNumberFormat="1" applyFont="1" applyFill="1" applyBorder="1"/>
    <xf numFmtId="0" fontId="36" fillId="0" borderId="22" xfId="0" applyFont="1" applyBorder="1" applyAlignment="1">
      <alignment horizontal="center" wrapText="1"/>
    </xf>
    <xf numFmtId="0" fontId="34" fillId="38" borderId="23" xfId="0" applyFont="1" applyFill="1" applyBorder="1" applyAlignment="1">
      <alignment horizontal="center" wrapText="1"/>
    </xf>
    <xf numFmtId="14" fontId="35" fillId="0" borderId="23" xfId="0" applyNumberFormat="1" applyFont="1" applyBorder="1" applyAlignment="1">
      <alignment horizontal="center" wrapText="1"/>
    </xf>
    <xf numFmtId="14" fontId="35" fillId="0" borderId="21" xfId="0" applyNumberFormat="1" applyFont="1" applyBorder="1" applyAlignment="1">
      <alignment horizontal="center" wrapText="1"/>
    </xf>
    <xf numFmtId="164" fontId="0" fillId="0" borderId="16" xfId="3" applyFont="1" applyBorder="1"/>
    <xf numFmtId="0" fontId="39" fillId="0" borderId="19" xfId="0" applyFont="1" applyBorder="1"/>
    <xf numFmtId="165" fontId="2" fillId="2" borderId="16" xfId="3" applyNumberFormat="1" applyFont="1" applyFill="1" applyBorder="1" applyAlignment="1">
      <alignment horizontal="center"/>
    </xf>
    <xf numFmtId="1" fontId="5" fillId="2" borderId="3" xfId="3" applyNumberFormat="1" applyFont="1" applyFill="1" applyBorder="1" applyAlignment="1">
      <alignment horizontal="center"/>
    </xf>
    <xf numFmtId="165" fontId="36" fillId="0" borderId="16" xfId="3" applyNumberFormat="1" applyFont="1" applyBorder="1" applyAlignment="1">
      <alignment horizontal="right" wrapText="1"/>
    </xf>
    <xf numFmtId="165" fontId="0" fillId="0" borderId="4" xfId="3" applyNumberFormat="1" applyFont="1" applyBorder="1"/>
    <xf numFmtId="165" fontId="0" fillId="0" borderId="16" xfId="3" applyNumberFormat="1" applyFont="1" applyBorder="1"/>
    <xf numFmtId="165" fontId="26" fillId="0" borderId="16" xfId="3" applyNumberFormat="1" applyFont="1" applyBorder="1" applyAlignment="1">
      <alignment horizontal="center" vertical="center" wrapText="1" indent="1" justifyLastLine="1"/>
    </xf>
    <xf numFmtId="165" fontId="4" fillId="0" borderId="16" xfId="3" applyNumberFormat="1" applyFont="1" applyFill="1" applyBorder="1" applyAlignment="1">
      <alignment horizontal="center" vertical="center"/>
    </xf>
    <xf numFmtId="165" fontId="4" fillId="0" borderId="2" xfId="3" applyNumberFormat="1" applyFont="1" applyFill="1" applyBorder="1" applyAlignment="1">
      <alignment horizontal="center" vertical="center"/>
    </xf>
    <xf numFmtId="0" fontId="0" fillId="0" borderId="16" xfId="0" applyNumberFormat="1" applyBorder="1"/>
    <xf numFmtId="0" fontId="35" fillId="0" borderId="21" xfId="0" applyFont="1" applyBorder="1" applyAlignment="1">
      <alignment horizontal="center" wrapText="1"/>
    </xf>
    <xf numFmtId="0" fontId="32" fillId="38" borderId="21" xfId="0" applyFont="1" applyFill="1" applyBorder="1" applyAlignment="1">
      <alignment horizontal="center" wrapText="1"/>
    </xf>
    <xf numFmtId="0" fontId="36" fillId="0" borderId="21" xfId="0" applyFont="1" applyBorder="1" applyAlignment="1">
      <alignment horizontal="right" wrapText="1"/>
    </xf>
    <xf numFmtId="164" fontId="0" fillId="0" borderId="0" xfId="0" applyNumberFormat="1"/>
    <xf numFmtId="0" fontId="0" fillId="0" borderId="0" xfId="0" pivotButton="1"/>
    <xf numFmtId="0" fontId="0" fillId="0" borderId="0" xfId="0"/>
    <xf numFmtId="0" fontId="36" fillId="0" borderId="18" xfId="0" applyFont="1" applyBorder="1" applyAlignment="1">
      <alignment horizontal="center" wrapText="1"/>
    </xf>
    <xf numFmtId="0" fontId="34" fillId="3" borderId="16" xfId="0" applyFont="1" applyFill="1" applyBorder="1" applyAlignment="1">
      <alignment wrapText="1"/>
    </xf>
    <xf numFmtId="0" fontId="34" fillId="3" borderId="16" xfId="0" applyFont="1" applyFill="1" applyBorder="1" applyAlignment="1">
      <alignment horizontal="center" wrapText="1"/>
    </xf>
    <xf numFmtId="167" fontId="32" fillId="3" borderId="16" xfId="0" applyNumberFormat="1" applyFont="1" applyFill="1" applyBorder="1" applyAlignment="1">
      <alignment horizontal="right" wrapText="1"/>
    </xf>
    <xf numFmtId="169" fontId="36" fillId="3" borderId="16" xfId="70" applyNumberFormat="1" applyFont="1" applyFill="1" applyBorder="1" applyAlignment="1">
      <alignment horizontal="right" wrapText="1"/>
    </xf>
    <xf numFmtId="0" fontId="35" fillId="3" borderId="16" xfId="0" applyFont="1" applyFill="1" applyBorder="1" applyAlignment="1">
      <alignment horizontal="center" wrapText="1"/>
    </xf>
    <xf numFmtId="0" fontId="36" fillId="3" borderId="16" xfId="0" applyFont="1" applyFill="1" applyBorder="1" applyAlignment="1">
      <alignment horizontal="right" wrapText="1"/>
    </xf>
    <xf numFmtId="0" fontId="0" fillId="0" borderId="16" xfId="0" applyFill="1" applyBorder="1" applyAlignment="1">
      <alignment horizontal="center"/>
    </xf>
    <xf numFmtId="0" fontId="0" fillId="0" borderId="0" xfId="0" applyAlignment="1">
      <alignment horizontal="left"/>
    </xf>
    <xf numFmtId="0" fontId="35" fillId="0" borderId="23" xfId="0" applyFont="1" applyBorder="1" applyAlignment="1">
      <alignment wrapText="1"/>
    </xf>
    <xf numFmtId="0" fontId="35" fillId="0" borderId="21" xfId="0" applyFont="1" applyBorder="1" applyAlignment="1">
      <alignment wrapText="1"/>
    </xf>
    <xf numFmtId="164" fontId="0" fillId="5" borderId="4" xfId="53" applyFont="1" applyFill="1" applyBorder="1"/>
    <xf numFmtId="164" fontId="0" fillId="2" borderId="4" xfId="53" applyFont="1" applyFill="1" applyBorder="1"/>
    <xf numFmtId="164" fontId="0" fillId="0" borderId="4" xfId="0" applyNumberFormat="1" applyBorder="1"/>
    <xf numFmtId="10" fontId="8" fillId="5" borderId="4" xfId="0" applyNumberFormat="1" applyFont="1" applyFill="1" applyBorder="1"/>
    <xf numFmtId="164" fontId="0" fillId="3" borderId="0" xfId="0" applyNumberFormat="1" applyFill="1"/>
    <xf numFmtId="165" fontId="5" fillId="3" borderId="16" xfId="3" applyNumberFormat="1" applyFont="1" applyFill="1" applyBorder="1" applyAlignment="1">
      <alignment horizontal="center"/>
    </xf>
    <xf numFmtId="0" fontId="41" fillId="0" borderId="21" xfId="0" applyFont="1" applyBorder="1" applyAlignment="1">
      <alignment horizontal="center" wrapText="1"/>
    </xf>
    <xf numFmtId="0" fontId="41" fillId="0" borderId="23" xfId="0" applyFont="1" applyBorder="1" applyAlignment="1">
      <alignment horizontal="center" wrapText="1"/>
    </xf>
    <xf numFmtId="0" fontId="42" fillId="39" borderId="3" xfId="0" applyFont="1" applyFill="1" applyBorder="1" applyAlignment="1">
      <alignment horizontal="center"/>
    </xf>
    <xf numFmtId="0" fontId="42" fillId="39" borderId="20" xfId="0" applyFont="1" applyFill="1" applyBorder="1" applyAlignment="1">
      <alignment horizontal="center"/>
    </xf>
    <xf numFmtId="165" fontId="44" fillId="0" borderId="16" xfId="3" applyNumberFormat="1" applyFont="1" applyFill="1" applyBorder="1" applyAlignment="1">
      <alignment horizontal="center"/>
    </xf>
    <xf numFmtId="165" fontId="32" fillId="0" borderId="16" xfId="3" applyNumberFormat="1" applyFont="1" applyFill="1" applyBorder="1" applyAlignment="1">
      <alignment horizontal="center"/>
    </xf>
    <xf numFmtId="0" fontId="45" fillId="0" borderId="16" xfId="51" applyFont="1" applyBorder="1" applyAlignment="1">
      <alignment horizontal="center" vertical="center" wrapText="1"/>
    </xf>
    <xf numFmtId="164" fontId="44" fillId="0" borderId="16" xfId="3" applyFont="1" applyFill="1" applyBorder="1" applyAlignment="1">
      <alignment horizontal="center"/>
    </xf>
    <xf numFmtId="167" fontId="35" fillId="0" borderId="21" xfId="0" applyNumberFormat="1" applyFont="1" applyBorder="1" applyAlignment="1">
      <alignment horizontal="center" wrapText="1"/>
    </xf>
    <xf numFmtId="168" fontId="44" fillId="0" borderId="16" xfId="3" applyNumberFormat="1" applyFont="1" applyFill="1" applyBorder="1" applyAlignment="1">
      <alignment horizontal="center"/>
    </xf>
    <xf numFmtId="168" fontId="32" fillId="0" borderId="16" xfId="3" applyNumberFormat="1" applyFont="1" applyFill="1" applyBorder="1" applyAlignment="1">
      <alignment horizontal="center"/>
    </xf>
    <xf numFmtId="169" fontId="32" fillId="0" borderId="16" xfId="3" applyNumberFormat="1" applyFont="1" applyFill="1" applyBorder="1" applyAlignment="1">
      <alignment horizontal="center"/>
    </xf>
    <xf numFmtId="0" fontId="46" fillId="0" borderId="21" xfId="0" applyFont="1" applyBorder="1" applyAlignment="1">
      <alignment horizontal="center" wrapText="1"/>
    </xf>
    <xf numFmtId="169" fontId="44" fillId="0" borderId="16" xfId="3" applyNumberFormat="1" applyFont="1" applyFill="1" applyBorder="1" applyAlignment="1">
      <alignment horizontal="center"/>
    </xf>
    <xf numFmtId="165" fontId="8" fillId="3" borderId="5" xfId="3" applyNumberFormat="1" applyFont="1" applyFill="1" applyBorder="1" applyAlignment="1">
      <alignment horizontal="center" vertical="center"/>
    </xf>
    <xf numFmtId="0" fontId="32" fillId="0" borderId="16" xfId="0" applyFont="1" applyFill="1" applyBorder="1" applyAlignment="1">
      <alignment horizontal="center"/>
    </xf>
    <xf numFmtId="0" fontId="43" fillId="0" borderId="16" xfId="0" applyFont="1" applyFill="1" applyBorder="1" applyAlignment="1">
      <alignment horizontal="center"/>
    </xf>
    <xf numFmtId="164" fontId="32" fillId="0" borderId="16" xfId="3" applyFont="1" applyFill="1" applyBorder="1" applyAlignment="1">
      <alignment horizontal="center"/>
    </xf>
    <xf numFmtId="0" fontId="45" fillId="0" borderId="16" xfId="51" applyFont="1" applyFill="1" applyBorder="1" applyAlignment="1">
      <alignment horizontal="center" vertical="center" wrapText="1"/>
    </xf>
    <xf numFmtId="0" fontId="44" fillId="0" borderId="16" xfId="0" applyFont="1" applyFill="1" applyBorder="1" applyAlignment="1">
      <alignment horizontal="center"/>
    </xf>
    <xf numFmtId="0" fontId="32" fillId="0" borderId="16" xfId="0" applyFont="1" applyFill="1" applyBorder="1"/>
    <xf numFmtId="0" fontId="44" fillId="0" borderId="16" xfId="51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/>
    </xf>
    <xf numFmtId="1" fontId="42" fillId="39" borderId="3" xfId="3" applyNumberFormat="1" applyFont="1" applyFill="1" applyBorder="1" applyAlignment="1">
      <alignment horizontal="center"/>
    </xf>
    <xf numFmtId="164" fontId="42" fillId="39" borderId="3" xfId="3" applyFont="1" applyFill="1" applyBorder="1" applyAlignment="1">
      <alignment horizontal="center"/>
    </xf>
    <xf numFmtId="165" fontId="32" fillId="0" borderId="4" xfId="3" applyNumberFormat="1" applyFont="1" applyFill="1" applyBorder="1" applyAlignment="1">
      <alignment horizontal="center"/>
    </xf>
    <xf numFmtId="0" fontId="40" fillId="0" borderId="16" xfId="0" applyFont="1" applyFill="1" applyBorder="1" applyAlignment="1">
      <alignment wrapText="1"/>
    </xf>
    <xf numFmtId="0" fontId="47" fillId="0" borderId="16" xfId="0" applyFont="1" applyFill="1" applyBorder="1" applyAlignment="1">
      <alignment horizontal="center" wrapText="1"/>
    </xf>
    <xf numFmtId="0" fontId="48" fillId="0" borderId="16" xfId="0" applyFont="1" applyFill="1" applyBorder="1" applyAlignment="1">
      <alignment horizontal="center" wrapText="1"/>
    </xf>
    <xf numFmtId="0" fontId="24" fillId="0" borderId="16" xfId="0" applyFont="1" applyFill="1" applyBorder="1" applyAlignment="1">
      <alignment horizontal="center" wrapText="1"/>
    </xf>
    <xf numFmtId="14" fontId="48" fillId="0" borderId="16" xfId="0" applyNumberFormat="1" applyFont="1" applyFill="1" applyBorder="1" applyAlignment="1">
      <alignment horizontal="center" wrapText="1"/>
    </xf>
    <xf numFmtId="164" fontId="48" fillId="0" borderId="16" xfId="3" applyFont="1" applyFill="1" applyBorder="1" applyAlignment="1">
      <alignment horizontal="center" wrapText="1"/>
    </xf>
    <xf numFmtId="0" fontId="40" fillId="0" borderId="16" xfId="0" applyFont="1" applyFill="1" applyBorder="1" applyAlignment="1">
      <alignment horizontal="center"/>
    </xf>
    <xf numFmtId="0" fontId="49" fillId="0" borderId="16" xfId="0" applyFont="1" applyFill="1" applyBorder="1" applyAlignment="1">
      <alignment horizontal="center"/>
    </xf>
    <xf numFmtId="0" fontId="32" fillId="0" borderId="16" xfId="0" applyFont="1" applyFill="1" applyBorder="1" applyAlignment="1">
      <alignment wrapText="1"/>
    </xf>
    <xf numFmtId="0" fontId="36" fillId="0" borderId="16" xfId="0" applyFont="1" applyFill="1" applyBorder="1" applyAlignment="1">
      <alignment horizontal="center" wrapText="1"/>
    </xf>
    <xf numFmtId="0" fontId="35" fillId="0" borderId="16" xfId="0" applyFont="1" applyFill="1" applyBorder="1" applyAlignment="1">
      <alignment horizontal="center" wrapText="1"/>
    </xf>
    <xf numFmtId="0" fontId="34" fillId="0" borderId="16" xfId="0" applyFont="1" applyFill="1" applyBorder="1" applyAlignment="1">
      <alignment horizontal="center" wrapText="1"/>
    </xf>
    <xf numFmtId="14" fontId="35" fillId="0" borderId="16" xfId="0" applyNumberFormat="1" applyFont="1" applyFill="1" applyBorder="1" applyAlignment="1">
      <alignment horizontal="center" wrapText="1"/>
    </xf>
    <xf numFmtId="164" fontId="35" fillId="0" borderId="16" xfId="3" applyFont="1" applyFill="1" applyBorder="1" applyAlignment="1">
      <alignment horizontal="center" wrapText="1"/>
    </xf>
    <xf numFmtId="0" fontId="5" fillId="0" borderId="16" xfId="0" applyFont="1" applyFill="1" applyBorder="1" applyAlignment="1">
      <alignment horizontal="center" vertical="center"/>
    </xf>
    <xf numFmtId="0" fontId="37" fillId="0" borderId="16" xfId="0" applyFont="1" applyFill="1" applyBorder="1" applyAlignment="1">
      <alignment horizontal="center"/>
    </xf>
    <xf numFmtId="0" fontId="44" fillId="0" borderId="16" xfId="0" applyFont="1" applyFill="1" applyBorder="1" applyAlignment="1">
      <alignment horizontal="center" vertical="center"/>
    </xf>
    <xf numFmtId="164" fontId="41" fillId="0" borderId="16" xfId="3" applyFont="1" applyFill="1" applyBorder="1" applyAlignment="1">
      <alignment horizontal="center" wrapText="1"/>
    </xf>
    <xf numFmtId="165" fontId="34" fillId="0" borderId="16" xfId="3" applyNumberFormat="1" applyFont="1" applyFill="1" applyBorder="1" applyAlignment="1">
      <alignment horizontal="center" wrapText="1"/>
    </xf>
    <xf numFmtId="0" fontId="37" fillId="0" borderId="16" xfId="0" applyFont="1" applyFill="1" applyBorder="1" applyAlignment="1">
      <alignment horizontal="center" vertical="center"/>
    </xf>
    <xf numFmtId="165" fontId="5" fillId="0" borderId="16" xfId="3" applyNumberFormat="1" applyFont="1" applyFill="1" applyBorder="1" applyAlignment="1">
      <alignment horizontal="center"/>
    </xf>
    <xf numFmtId="0" fontId="0" fillId="0" borderId="16" xfId="0" applyFill="1" applyBorder="1" applyAlignment="1">
      <alignment wrapText="1"/>
    </xf>
    <xf numFmtId="14" fontId="0" fillId="0" borderId="16" xfId="0" applyNumberFormat="1" applyFill="1" applyBorder="1"/>
    <xf numFmtId="0" fontId="32" fillId="0" borderId="16" xfId="0" applyFont="1" applyFill="1" applyBorder="1" applyAlignment="1">
      <alignment horizontal="center" vertical="center"/>
    </xf>
    <xf numFmtId="0" fontId="0" fillId="0" borderId="16" xfId="0" applyFill="1" applyBorder="1" applyAlignment="1">
      <alignment horizontal="center" vertical="center"/>
    </xf>
    <xf numFmtId="164" fontId="0" fillId="0" borderId="16" xfId="0" pivotButton="1" applyNumberFormat="1" applyBorder="1"/>
    <xf numFmtId="164" fontId="0" fillId="0" borderId="16" xfId="0" applyNumberFormat="1" applyBorder="1" applyAlignment="1">
      <alignment horizontal="left"/>
    </xf>
    <xf numFmtId="164" fontId="0" fillId="3" borderId="16" xfId="0" applyNumberFormat="1" applyFill="1" applyBorder="1"/>
    <xf numFmtId="0" fontId="0" fillId="0" borderId="24" xfId="0" applyBorder="1"/>
    <xf numFmtId="0" fontId="32" fillId="0" borderId="16" xfId="0" applyFont="1" applyBorder="1" applyAlignment="1">
      <alignment wrapText="1"/>
    </xf>
    <xf numFmtId="0" fontId="32" fillId="0" borderId="18" xfId="0" applyFont="1" applyFill="1" applyBorder="1" applyAlignment="1">
      <alignment wrapText="1"/>
    </xf>
    <xf numFmtId="0" fontId="36" fillId="0" borderId="18" xfId="0" applyFont="1" applyFill="1" applyBorder="1" applyAlignment="1">
      <alignment horizontal="center" wrapText="1"/>
    </xf>
    <xf numFmtId="0" fontId="35" fillId="0" borderId="16" xfId="0" applyFont="1" applyBorder="1" applyAlignment="1">
      <alignment horizontal="center" wrapText="1"/>
    </xf>
    <xf numFmtId="0" fontId="35" fillId="0" borderId="21" xfId="0" applyFont="1" applyFill="1" applyBorder="1" applyAlignment="1">
      <alignment horizontal="center" wrapText="1"/>
    </xf>
    <xf numFmtId="0" fontId="34" fillId="0" borderId="21" xfId="0" applyFont="1" applyFill="1" applyBorder="1" applyAlignment="1">
      <alignment horizontal="center" wrapText="1"/>
    </xf>
    <xf numFmtId="14" fontId="35" fillId="0" borderId="16" xfId="0" applyNumberFormat="1" applyFont="1" applyBorder="1" applyAlignment="1">
      <alignment horizontal="center" wrapText="1"/>
    </xf>
    <xf numFmtId="14" fontId="35" fillId="0" borderId="21" xfId="0" applyNumberFormat="1" applyFont="1" applyFill="1" applyBorder="1" applyAlignment="1">
      <alignment horizontal="center" wrapText="1"/>
    </xf>
    <xf numFmtId="164" fontId="35" fillId="0" borderId="16" xfId="3" applyFont="1" applyBorder="1" applyAlignment="1">
      <alignment horizontal="center" wrapText="1"/>
    </xf>
    <xf numFmtId="164" fontId="35" fillId="0" borderId="21" xfId="3" applyFont="1" applyFill="1" applyBorder="1" applyAlignment="1">
      <alignment horizontal="center" wrapText="1"/>
    </xf>
    <xf numFmtId="0" fontId="44" fillId="0" borderId="16" xfId="0" applyFont="1" applyBorder="1" applyAlignment="1">
      <alignment horizontal="center"/>
    </xf>
    <xf numFmtId="0" fontId="37" fillId="0" borderId="17" xfId="0" applyFont="1" applyFill="1" applyBorder="1" applyAlignment="1">
      <alignment horizontal="center"/>
    </xf>
    <xf numFmtId="0" fontId="37" fillId="0" borderId="16" xfId="0" applyFont="1" applyBorder="1" applyAlignment="1">
      <alignment horizontal="center"/>
    </xf>
    <xf numFmtId="0" fontId="5" fillId="0" borderId="17" xfId="0" applyFont="1" applyFill="1" applyBorder="1" applyAlignment="1">
      <alignment horizontal="center"/>
    </xf>
    <xf numFmtId="0" fontId="44" fillId="0" borderId="16" xfId="0" applyFont="1" applyBorder="1" applyAlignment="1">
      <alignment horizontal="center" vertical="center"/>
    </xf>
    <xf numFmtId="0" fontId="44" fillId="0" borderId="17" xfId="0" applyFont="1" applyFill="1" applyBorder="1" applyAlignment="1">
      <alignment horizontal="center"/>
    </xf>
    <xf numFmtId="0" fontId="37" fillId="0" borderId="16" xfId="0" applyFont="1" applyBorder="1" applyAlignment="1">
      <alignment horizontal="center" vertical="center"/>
    </xf>
    <xf numFmtId="0" fontId="32" fillId="0" borderId="17" xfId="0" applyFont="1" applyFill="1" applyBorder="1" applyAlignment="1">
      <alignment horizontal="center"/>
    </xf>
    <xf numFmtId="0" fontId="5" fillId="0" borderId="16" xfId="0" applyFont="1" applyBorder="1" applyAlignment="1">
      <alignment horizontal="center" vertical="center"/>
    </xf>
    <xf numFmtId="0" fontId="5" fillId="0" borderId="17" xfId="0" applyFont="1" applyFill="1" applyBorder="1" applyAlignment="1">
      <alignment horizontal="center" vertical="center"/>
    </xf>
    <xf numFmtId="0" fontId="32" fillId="0" borderId="4" xfId="0" applyFont="1" applyFill="1" applyBorder="1" applyAlignment="1">
      <alignment horizontal="center"/>
    </xf>
    <xf numFmtId="0" fontId="0" fillId="0" borderId="18" xfId="0" applyFill="1" applyBorder="1"/>
    <xf numFmtId="0" fontId="0" fillId="0" borderId="21" xfId="0" applyFill="1" applyBorder="1"/>
    <xf numFmtId="164" fontId="0" fillId="0" borderId="21" xfId="3" applyFont="1" applyFill="1" applyBorder="1"/>
    <xf numFmtId="0" fontId="0" fillId="0" borderId="17" xfId="0" applyFill="1" applyBorder="1" applyAlignment="1">
      <alignment horizontal="center"/>
    </xf>
    <xf numFmtId="0" fontId="8" fillId="2" borderId="5" xfId="0" applyFont="1" applyFill="1" applyBorder="1" applyAlignment="1">
      <alignment horizontal="left"/>
    </xf>
    <xf numFmtId="166" fontId="8" fillId="3" borderId="5" xfId="0" applyNumberFormat="1" applyFont="1" applyFill="1" applyBorder="1" applyAlignment="1">
      <alignment horizontal="center" vertical="center"/>
    </xf>
    <xf numFmtId="165" fontId="8" fillId="3" borderId="5" xfId="3" applyNumberFormat="1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left"/>
    </xf>
    <xf numFmtId="0" fontId="8" fillId="2" borderId="6" xfId="0" applyFont="1" applyFill="1" applyBorder="1" applyAlignment="1">
      <alignment horizontal="center"/>
    </xf>
    <xf numFmtId="0" fontId="8" fillId="2" borderId="0" xfId="0" applyFont="1" applyFill="1" applyBorder="1" applyAlignment="1">
      <alignment horizontal="center"/>
    </xf>
  </cellXfs>
  <cellStyles count="73">
    <cellStyle name="20% — акцент1" xfId="22" builtinId="30" customBuiltin="1"/>
    <cellStyle name="20% — акцент2" xfId="26" builtinId="34" customBuiltin="1"/>
    <cellStyle name="20% — акцент3" xfId="30" builtinId="38" customBuiltin="1"/>
    <cellStyle name="20% — акцент4" xfId="34" builtinId="42" customBuiltin="1"/>
    <cellStyle name="20% — акцент5" xfId="38" builtinId="46" customBuiltin="1"/>
    <cellStyle name="20% — акцент6" xfId="42" builtinId="50" customBuiltin="1"/>
    <cellStyle name="40% — акцент1" xfId="23" builtinId="31" customBuiltin="1"/>
    <cellStyle name="40% — акцент2" xfId="27" builtinId="35" customBuiltin="1"/>
    <cellStyle name="40% — акцент3" xfId="31" builtinId="39" customBuiltin="1"/>
    <cellStyle name="40% — акцент4" xfId="35" builtinId="43" customBuiltin="1"/>
    <cellStyle name="40% — акцент5" xfId="39" builtinId="47" customBuiltin="1"/>
    <cellStyle name="40% — акцент6" xfId="43" builtinId="51" customBuiltin="1"/>
    <cellStyle name="60% — акцент1" xfId="24" builtinId="32" customBuiltin="1"/>
    <cellStyle name="60% — акцент2" xfId="28" builtinId="36" customBuiltin="1"/>
    <cellStyle name="60% — акцент3" xfId="32" builtinId="40" customBuiltin="1"/>
    <cellStyle name="60% — акцент4" xfId="36" builtinId="44" customBuiltin="1"/>
    <cellStyle name="60% — акцент5" xfId="40" builtinId="48" customBuiltin="1"/>
    <cellStyle name="60% — акцент6" xfId="44" builtinId="52" customBuiltin="1"/>
    <cellStyle name="All_Borders" xfId="50" xr:uid="{9FA97B4F-C577-48BC-A51F-47C002710CCC}"/>
    <cellStyle name="Borders_Center_6" xfId="1" xr:uid="{D464DAFA-530E-425F-A2D9-BFC0E007ED5F}"/>
    <cellStyle name="Borders_CenterWrap_6" xfId="2" xr:uid="{AB3AF918-29C9-49C4-B0E5-EB8D2B6DB517}"/>
    <cellStyle name="Bottom_Center_Bold" xfId="49" xr:uid="{34477BA7-0C42-4104-8B09-9BEA5A136947}"/>
    <cellStyle name="HorzRight" xfId="46" xr:uid="{ED08FC8B-DAE0-4FF9-A5ED-9D20E4D2148C}"/>
    <cellStyle name="HorzRight 2" xfId="56" xr:uid="{17F6656F-7AB4-4078-BCAA-B406CB96BA7E}"/>
    <cellStyle name="HorzRight 2 2" xfId="64" xr:uid="{E867B040-24A3-4411-B270-7B019B6ECE30}"/>
    <cellStyle name="VertBottom_HorzCent" xfId="48" xr:uid="{D192A0D3-F2ED-4CE0-B41A-BF492F4240C2}"/>
    <cellStyle name="VertCenter" xfId="47" xr:uid="{6A75F2F5-4658-4983-83C3-6D690F900028}"/>
    <cellStyle name="VertCenter 2" xfId="57" xr:uid="{508009C4-3CDF-4804-81EF-27668177BAFE}"/>
    <cellStyle name="VertCenter 2 2" xfId="65" xr:uid="{6948510D-2D50-4CF2-B278-BF20B73E873A}"/>
    <cellStyle name="Wrap" xfId="45" xr:uid="{397AC2D9-7921-4649-A91E-1C213A6C8B88}"/>
    <cellStyle name="Wrap 2" xfId="55" xr:uid="{0048B8E5-9AEF-4075-B8F0-480A16E0B323}"/>
    <cellStyle name="Wrap 2 2" xfId="63" xr:uid="{48E02FCB-8A72-44CC-B238-3E10B854B161}"/>
    <cellStyle name="Акцент1" xfId="21" builtinId="29" customBuiltin="1"/>
    <cellStyle name="Акцент2" xfId="25" builtinId="33" customBuiltin="1"/>
    <cellStyle name="Акцент3" xfId="29" builtinId="37" customBuiltin="1"/>
    <cellStyle name="Акцент4" xfId="33" builtinId="41" customBuiltin="1"/>
    <cellStyle name="Акцент5" xfId="37" builtinId="45" customBuiltin="1"/>
    <cellStyle name="Акцент6" xfId="41" builtinId="49" customBuiltin="1"/>
    <cellStyle name="Ввод " xfId="12" builtinId="20" customBuiltin="1"/>
    <cellStyle name="Вывод" xfId="13" builtinId="21" customBuiltin="1"/>
    <cellStyle name="Вычисление" xfId="14" builtinId="22" customBuiltin="1"/>
    <cellStyle name="Заголовок 1" xfId="5" builtinId="16" customBuiltin="1"/>
    <cellStyle name="Заголовок 2" xfId="6" builtinId="17" customBuiltin="1"/>
    <cellStyle name="Заголовок 3" xfId="7" builtinId="18" customBuiltin="1"/>
    <cellStyle name="Заголовок 4" xfId="8" builtinId="19" customBuiltin="1"/>
    <cellStyle name="Итог" xfId="20" builtinId="25" customBuiltin="1"/>
    <cellStyle name="Контрольная ячейка" xfId="16" builtinId="23" customBuiltin="1"/>
    <cellStyle name="Название" xfId="4" builtinId="15" customBuiltin="1"/>
    <cellStyle name="Нейтральный" xfId="11" builtinId="28" customBuiltin="1"/>
    <cellStyle name="Обычный" xfId="0" builtinId="0"/>
    <cellStyle name="Обычный 2" xfId="54" xr:uid="{99B06C29-314E-42BE-A47E-FF94D8076C0D}"/>
    <cellStyle name="Обычный 2 2" xfId="58" xr:uid="{F780ADC5-6E80-4EFD-B02E-6A7FEF261F10}"/>
    <cellStyle name="Обычный 2 2 2" xfId="62" xr:uid="{D0CAE8A4-2972-4D1F-A5F4-E355781F01AC}"/>
    <cellStyle name="Обычный 2 2 3" xfId="72" xr:uid="{E10332DD-18C7-4F85-9062-7B4CAA856427}"/>
    <cellStyle name="Обычный 2 3" xfId="67" xr:uid="{1800538C-06E6-415B-A020-A9944E7BBDCF}"/>
    <cellStyle name="Обычный 3" xfId="51" xr:uid="{A3FAD042-8201-43F4-A673-279A0E7DFDB3}"/>
    <cellStyle name="Обычный 3 2" xfId="61" xr:uid="{52A69AED-E47B-4349-9D8E-57AE9BCC494C}"/>
    <cellStyle name="Обычный 3 3" xfId="68" xr:uid="{2B6BCFFC-AD4F-401C-8F14-972FE68BFB64}"/>
    <cellStyle name="Обычный 4" xfId="59" xr:uid="{7791E034-877F-4CAC-A45C-92EFFDCBC66D}"/>
    <cellStyle name="Плохой" xfId="10" builtinId="27" customBuiltin="1"/>
    <cellStyle name="Пояснение" xfId="19" builtinId="53" customBuiltin="1"/>
    <cellStyle name="Примечание" xfId="18" builtinId="10" customBuiltin="1"/>
    <cellStyle name="Связанная ячейка" xfId="15" builtinId="24" customBuiltin="1"/>
    <cellStyle name="Текст предупреждения" xfId="17" builtinId="11" customBuiltin="1"/>
    <cellStyle name="Финансовый" xfId="3" builtinId="3"/>
    <cellStyle name="Финансовый 2" xfId="53" xr:uid="{A0D7C117-4066-488D-BA49-90A82D3C8477}"/>
    <cellStyle name="Финансовый 2 2" xfId="70" xr:uid="{D121A632-F43B-4A22-AB8E-9BC01B3B5343}"/>
    <cellStyle name="Финансовый 3" xfId="52" xr:uid="{FE002185-56FF-4BA0-B81F-B970CDB49168}"/>
    <cellStyle name="Финансовый 3 2" xfId="69" xr:uid="{ABE54535-A592-43CA-AEF6-B1569827E440}"/>
    <cellStyle name="Финансовый 4" xfId="60" xr:uid="{E95D5223-3318-4F8D-989E-FE8E5BD3F5D4}"/>
    <cellStyle name="Финансовый 4 2" xfId="71" xr:uid="{8CBF9DB8-190E-415C-9F6C-EFADDDDA4938}"/>
    <cellStyle name="Финансовый 5" xfId="66" xr:uid="{784AB7BB-6666-42FE-BD96-D5A9962611E0}"/>
    <cellStyle name="Хороший" xfId="9" builtinId="26" customBuiltin="1"/>
  </cellStyles>
  <dxfs count="31">
    <dxf>
      <numFmt numFmtId="164" formatCode="_-* #,##0.00\ _₽_-;\-* #,##0.00\ _₽_-;_-* &quot;-&quot;??\ _₽_-;_-@_-"/>
    </dxf>
    <dxf>
      <numFmt numFmtId="164" formatCode="_-* #,##0.00\ _₽_-;\-* #,##0.00\ _₽_-;_-* &quot;-&quot;??\ _₽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_-* #,##0.00\ _₽_-;\-* #,##0.00\ _₽_-;_-* &quot;-&quot;??\ _₽_-;_-@_-"/>
    </dxf>
    <dxf>
      <numFmt numFmtId="164" formatCode="_-* #,##0.00\ _₽_-;\-* #,##0.00\ _₽_-;_-* &quot;-&quot;??\ _₽_-;_-@_-"/>
    </dxf>
    <dxf>
      <numFmt numFmtId="164" formatCode="_-* #,##0.00\ _₽_-;\-* #,##0.00\ _₽_-;_-* &quot;-&quot;??\ _₽_-;_-@_-"/>
    </dxf>
    <dxf>
      <numFmt numFmtId="164" formatCode="_-* #,##0.00\ _₽_-;\-* #,##0.00\ _₽_-;_-* &quot;-&quot;??\ _₽_-;_-@_-"/>
    </dxf>
    <dxf>
      <numFmt numFmtId="164" formatCode="_-* #,##0.00\ _₽_-;\-* #,##0.00\ _₽_-;_-* &quot;-&quot;??\ _₽_-;_-@_-"/>
    </dxf>
    <dxf>
      <numFmt numFmtId="164" formatCode="_-* #,##0.00\ _₽_-;\-* #,##0.00\ _₽_-;_-* &quot;-&quot;??\ _₽_-;_-@_-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_-* #,##0.00\ _₽_-;\-* #,##0.00\ _₽_-;_-* &quot;-&quot;??\ _₽_-;_-@_-"/>
    </dxf>
    <dxf>
      <numFmt numFmtId="164" formatCode="_-* #,##0.00\ _₽_-;\-* #,##0.00\ _₽_-;_-* &quot;-&quot;??\ _₽_-;_-@_-"/>
    </dxf>
    <dxf>
      <numFmt numFmtId="164" formatCode="_-* #,##0.00\ _₽_-;\-* #,##0.00\ _₽_-;_-* &quot;-&quot;??\ _₽_-;_-@_-"/>
    </dxf>
    <dxf>
      <numFmt numFmtId="164" formatCode="_-* #,##0.00\ _₽_-;\-* #,##0.00\ _₽_-;_-* &quot;-&quot;??\ _₽_-;_-@_-"/>
    </dxf>
    <dxf>
      <numFmt numFmtId="164" formatCode="_-* #,##0.00\ _₽_-;\-* #,##0.00\ _₽_-;_-* &quot;-&quot;??\ _₽_-;_-@_-"/>
    </dxf>
    <dxf>
      <numFmt numFmtId="164" formatCode="_-* #,##0.00\ _₽_-;\-* #,##0.00\ _₽_-;_-* &quot;-&quot;??\ _₽_-;_-@_-"/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133350</xdr:colOff>
      <xdr:row>17</xdr:row>
      <xdr:rowOff>238125</xdr:rowOff>
    </xdr:from>
    <xdr:ext cx="1019175" cy="1019175"/>
    <xdr:sp macro="" textlink="">
      <xdr:nvSpPr>
        <xdr:cNvPr id="2" name="AutoShape 1" descr="blob:https://web.whatsapp.com/b32ed8d4-8a28-4324-8f1b-a1456ad4cc71">
          <a:extLst>
            <a:ext uri="{FF2B5EF4-FFF2-40B4-BE49-F238E27FC236}">
              <a16:creationId xmlns:a16="http://schemas.microsoft.com/office/drawing/2014/main" id="{0A44B5C0-828F-404E-9965-AB93DB362E07}"/>
            </a:ext>
          </a:extLst>
        </xdr:cNvPr>
        <xdr:cNvSpPr>
          <a:spLocks noChangeAspect="1" noChangeArrowheads="1"/>
        </xdr:cNvSpPr>
      </xdr:nvSpPr>
      <xdr:spPr bwMode="auto">
        <a:xfrm>
          <a:off x="6953250" y="3790950"/>
          <a:ext cx="1019175" cy="1019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133351</xdr:colOff>
      <xdr:row>15</xdr:row>
      <xdr:rowOff>67236</xdr:rowOff>
    </xdr:from>
    <xdr:ext cx="1019175" cy="1019175"/>
    <xdr:sp macro="" textlink="">
      <xdr:nvSpPr>
        <xdr:cNvPr id="3" name="AutoShape 1" descr="blob:https://web.whatsapp.com/b32ed8d4-8a28-4324-8f1b-a1456ad4cc71">
          <a:extLst>
            <a:ext uri="{FF2B5EF4-FFF2-40B4-BE49-F238E27FC236}">
              <a16:creationId xmlns:a16="http://schemas.microsoft.com/office/drawing/2014/main" id="{2D066286-9D58-4C39-AFDA-D32AD39F26C5}"/>
            </a:ext>
          </a:extLst>
        </xdr:cNvPr>
        <xdr:cNvSpPr>
          <a:spLocks noChangeAspect="1" noChangeArrowheads="1"/>
        </xdr:cNvSpPr>
      </xdr:nvSpPr>
      <xdr:spPr bwMode="auto">
        <a:xfrm>
          <a:off x="11070292" y="784412"/>
          <a:ext cx="1019175" cy="1019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133350</xdr:colOff>
      <xdr:row>47</xdr:row>
      <xdr:rowOff>238125</xdr:rowOff>
    </xdr:from>
    <xdr:ext cx="1019175" cy="1019175"/>
    <xdr:sp macro="" textlink="">
      <xdr:nvSpPr>
        <xdr:cNvPr id="4" name="AutoShape 1" descr="blob:https://web.whatsapp.com/b32ed8d4-8a28-4324-8f1b-a1456ad4cc71">
          <a:extLst>
            <a:ext uri="{FF2B5EF4-FFF2-40B4-BE49-F238E27FC236}">
              <a16:creationId xmlns:a16="http://schemas.microsoft.com/office/drawing/2014/main" id="{22CCC3F0-50F9-4614-948F-071B71043454}"/>
            </a:ext>
          </a:extLst>
        </xdr:cNvPr>
        <xdr:cNvSpPr>
          <a:spLocks noChangeAspect="1" noChangeArrowheads="1"/>
        </xdr:cNvSpPr>
      </xdr:nvSpPr>
      <xdr:spPr bwMode="auto">
        <a:xfrm>
          <a:off x="11070291" y="336176"/>
          <a:ext cx="1019175" cy="1019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133351</xdr:colOff>
      <xdr:row>44</xdr:row>
      <xdr:rowOff>67236</xdr:rowOff>
    </xdr:from>
    <xdr:ext cx="1019175" cy="1019175"/>
    <xdr:sp macro="" textlink="">
      <xdr:nvSpPr>
        <xdr:cNvPr id="5" name="AutoShape 1" descr="blob:https://web.whatsapp.com/b32ed8d4-8a28-4324-8f1b-a1456ad4cc71">
          <a:extLst>
            <a:ext uri="{FF2B5EF4-FFF2-40B4-BE49-F238E27FC236}">
              <a16:creationId xmlns:a16="http://schemas.microsoft.com/office/drawing/2014/main" id="{272D4765-DA94-4C61-BE87-1326297855F4}"/>
            </a:ext>
          </a:extLst>
        </xdr:cNvPr>
        <xdr:cNvSpPr>
          <a:spLocks noChangeAspect="1" noChangeArrowheads="1"/>
        </xdr:cNvSpPr>
      </xdr:nvSpPr>
      <xdr:spPr bwMode="auto">
        <a:xfrm>
          <a:off x="11070292" y="336176"/>
          <a:ext cx="1019175" cy="1019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838200</xdr:colOff>
      <xdr:row>18</xdr:row>
      <xdr:rowOff>149225</xdr:rowOff>
    </xdr:from>
    <xdr:ext cx="1019175" cy="1019175"/>
    <xdr:sp macro="" textlink="">
      <xdr:nvSpPr>
        <xdr:cNvPr id="6" name="AutoShape 1" descr="blob:https://web.whatsapp.com/b32ed8d4-8a28-4324-8f1b-a1456ad4cc71">
          <a:extLst>
            <a:ext uri="{FF2B5EF4-FFF2-40B4-BE49-F238E27FC236}">
              <a16:creationId xmlns:a16="http://schemas.microsoft.com/office/drawing/2014/main" id="{A5BC0DE2-FD4A-4D67-B7A2-942A8E413BE3}"/>
            </a:ext>
          </a:extLst>
        </xdr:cNvPr>
        <xdr:cNvSpPr>
          <a:spLocks noChangeAspect="1" noChangeArrowheads="1"/>
        </xdr:cNvSpPr>
      </xdr:nvSpPr>
      <xdr:spPr bwMode="auto">
        <a:xfrm>
          <a:off x="12623800" y="3673475"/>
          <a:ext cx="1019175" cy="1019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133351</xdr:colOff>
      <xdr:row>16</xdr:row>
      <xdr:rowOff>0</xdr:rowOff>
    </xdr:from>
    <xdr:ext cx="1019175" cy="1019175"/>
    <xdr:sp macro="" textlink="">
      <xdr:nvSpPr>
        <xdr:cNvPr id="7" name="AutoShape 1" descr="blob:https://web.whatsapp.com/b32ed8d4-8a28-4324-8f1b-a1456ad4cc71">
          <a:extLst>
            <a:ext uri="{FF2B5EF4-FFF2-40B4-BE49-F238E27FC236}">
              <a16:creationId xmlns:a16="http://schemas.microsoft.com/office/drawing/2014/main" id="{B1BDA440-6150-4FBA-9AB9-0F03FBC443D3}"/>
            </a:ext>
          </a:extLst>
        </xdr:cNvPr>
        <xdr:cNvSpPr>
          <a:spLocks noChangeAspect="1" noChangeArrowheads="1"/>
        </xdr:cNvSpPr>
      </xdr:nvSpPr>
      <xdr:spPr bwMode="auto">
        <a:xfrm>
          <a:off x="11070292" y="336176"/>
          <a:ext cx="1019175" cy="1019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133350</xdr:colOff>
      <xdr:row>24</xdr:row>
      <xdr:rowOff>238125</xdr:rowOff>
    </xdr:from>
    <xdr:ext cx="1019175" cy="1019175"/>
    <xdr:sp macro="" textlink="">
      <xdr:nvSpPr>
        <xdr:cNvPr id="8" name="AutoShape 1" descr="blob:https://web.whatsapp.com/b32ed8d4-8a28-4324-8f1b-a1456ad4cc71">
          <a:extLst>
            <a:ext uri="{FF2B5EF4-FFF2-40B4-BE49-F238E27FC236}">
              <a16:creationId xmlns:a16="http://schemas.microsoft.com/office/drawing/2014/main" id="{4050CF15-7399-4E9B-BE19-6D80542C1193}"/>
            </a:ext>
          </a:extLst>
        </xdr:cNvPr>
        <xdr:cNvSpPr>
          <a:spLocks noChangeAspect="1" noChangeArrowheads="1"/>
        </xdr:cNvSpPr>
      </xdr:nvSpPr>
      <xdr:spPr bwMode="auto">
        <a:xfrm>
          <a:off x="11070291" y="336176"/>
          <a:ext cx="1019175" cy="1019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133351</xdr:colOff>
      <xdr:row>21</xdr:row>
      <xdr:rowOff>67236</xdr:rowOff>
    </xdr:from>
    <xdr:ext cx="1019175" cy="1019175"/>
    <xdr:sp macro="" textlink="">
      <xdr:nvSpPr>
        <xdr:cNvPr id="9" name="AutoShape 1" descr="blob:https://web.whatsapp.com/b32ed8d4-8a28-4324-8f1b-a1456ad4cc71">
          <a:extLst>
            <a:ext uri="{FF2B5EF4-FFF2-40B4-BE49-F238E27FC236}">
              <a16:creationId xmlns:a16="http://schemas.microsoft.com/office/drawing/2014/main" id="{4A4F3349-F95E-4350-B313-FAB1481BEE4C}"/>
            </a:ext>
          </a:extLst>
        </xdr:cNvPr>
        <xdr:cNvSpPr>
          <a:spLocks noChangeAspect="1" noChangeArrowheads="1"/>
        </xdr:cNvSpPr>
      </xdr:nvSpPr>
      <xdr:spPr bwMode="auto">
        <a:xfrm>
          <a:off x="11070292" y="336176"/>
          <a:ext cx="1019175" cy="1019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133350</xdr:colOff>
      <xdr:row>25</xdr:row>
      <xdr:rowOff>238125</xdr:rowOff>
    </xdr:from>
    <xdr:ext cx="1019175" cy="1019175"/>
    <xdr:sp macro="" textlink="">
      <xdr:nvSpPr>
        <xdr:cNvPr id="10" name="AutoShape 1" descr="blob:https://web.whatsapp.com/b32ed8d4-8a28-4324-8f1b-a1456ad4cc71">
          <a:extLst>
            <a:ext uri="{FF2B5EF4-FFF2-40B4-BE49-F238E27FC236}">
              <a16:creationId xmlns:a16="http://schemas.microsoft.com/office/drawing/2014/main" id="{3DDD83F9-1500-4C79-BAA4-7D4469425DB6}"/>
            </a:ext>
          </a:extLst>
        </xdr:cNvPr>
        <xdr:cNvSpPr>
          <a:spLocks noChangeAspect="1" noChangeArrowheads="1"/>
        </xdr:cNvSpPr>
      </xdr:nvSpPr>
      <xdr:spPr bwMode="auto">
        <a:xfrm>
          <a:off x="11070291" y="336176"/>
          <a:ext cx="1019175" cy="1019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133351</xdr:colOff>
      <xdr:row>22</xdr:row>
      <xdr:rowOff>67236</xdr:rowOff>
    </xdr:from>
    <xdr:ext cx="1019175" cy="1019175"/>
    <xdr:sp macro="" textlink="">
      <xdr:nvSpPr>
        <xdr:cNvPr id="11" name="AutoShape 1" descr="blob:https://web.whatsapp.com/b32ed8d4-8a28-4324-8f1b-a1456ad4cc71">
          <a:extLst>
            <a:ext uri="{FF2B5EF4-FFF2-40B4-BE49-F238E27FC236}">
              <a16:creationId xmlns:a16="http://schemas.microsoft.com/office/drawing/2014/main" id="{B43E933F-2077-4043-93A3-FE31DC3E641A}"/>
            </a:ext>
          </a:extLst>
        </xdr:cNvPr>
        <xdr:cNvSpPr>
          <a:spLocks noChangeAspect="1" noChangeArrowheads="1"/>
        </xdr:cNvSpPr>
      </xdr:nvSpPr>
      <xdr:spPr bwMode="auto">
        <a:xfrm>
          <a:off x="11070292" y="336176"/>
          <a:ext cx="1019175" cy="1019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133350</xdr:colOff>
      <xdr:row>26</xdr:row>
      <xdr:rowOff>238125</xdr:rowOff>
    </xdr:from>
    <xdr:ext cx="1019175" cy="1019175"/>
    <xdr:sp macro="" textlink="">
      <xdr:nvSpPr>
        <xdr:cNvPr id="12" name="AutoShape 1" descr="blob:https://web.whatsapp.com/b32ed8d4-8a28-4324-8f1b-a1456ad4cc71">
          <a:extLst>
            <a:ext uri="{FF2B5EF4-FFF2-40B4-BE49-F238E27FC236}">
              <a16:creationId xmlns:a16="http://schemas.microsoft.com/office/drawing/2014/main" id="{01F63ED1-8BC7-493B-9FDC-7DED85137F8C}"/>
            </a:ext>
          </a:extLst>
        </xdr:cNvPr>
        <xdr:cNvSpPr>
          <a:spLocks noChangeAspect="1" noChangeArrowheads="1"/>
        </xdr:cNvSpPr>
      </xdr:nvSpPr>
      <xdr:spPr bwMode="auto">
        <a:xfrm>
          <a:off x="11070291" y="336176"/>
          <a:ext cx="1019175" cy="1019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133351</xdr:colOff>
      <xdr:row>23</xdr:row>
      <xdr:rowOff>67236</xdr:rowOff>
    </xdr:from>
    <xdr:ext cx="1019175" cy="1019175"/>
    <xdr:sp macro="" textlink="">
      <xdr:nvSpPr>
        <xdr:cNvPr id="13" name="AutoShape 1" descr="blob:https://web.whatsapp.com/b32ed8d4-8a28-4324-8f1b-a1456ad4cc71">
          <a:extLst>
            <a:ext uri="{FF2B5EF4-FFF2-40B4-BE49-F238E27FC236}">
              <a16:creationId xmlns:a16="http://schemas.microsoft.com/office/drawing/2014/main" id="{A939EBE4-AA5A-47E5-A9E8-744A4F7D77C0}"/>
            </a:ext>
          </a:extLst>
        </xdr:cNvPr>
        <xdr:cNvSpPr>
          <a:spLocks noChangeAspect="1" noChangeArrowheads="1"/>
        </xdr:cNvSpPr>
      </xdr:nvSpPr>
      <xdr:spPr bwMode="auto">
        <a:xfrm>
          <a:off x="11070292" y="336176"/>
          <a:ext cx="1019175" cy="1019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133350</xdr:colOff>
      <xdr:row>27</xdr:row>
      <xdr:rowOff>238125</xdr:rowOff>
    </xdr:from>
    <xdr:ext cx="1019175" cy="1019175"/>
    <xdr:sp macro="" textlink="">
      <xdr:nvSpPr>
        <xdr:cNvPr id="14" name="AutoShape 1" descr="blob:https://web.whatsapp.com/b32ed8d4-8a28-4324-8f1b-a1456ad4cc71">
          <a:extLst>
            <a:ext uri="{FF2B5EF4-FFF2-40B4-BE49-F238E27FC236}">
              <a16:creationId xmlns:a16="http://schemas.microsoft.com/office/drawing/2014/main" id="{C5DD432B-FA48-4039-ACF9-D83E4627EDE6}"/>
            </a:ext>
          </a:extLst>
        </xdr:cNvPr>
        <xdr:cNvSpPr>
          <a:spLocks noChangeAspect="1" noChangeArrowheads="1"/>
        </xdr:cNvSpPr>
      </xdr:nvSpPr>
      <xdr:spPr bwMode="auto">
        <a:xfrm>
          <a:off x="11070291" y="336176"/>
          <a:ext cx="1019175" cy="1019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133351</xdr:colOff>
      <xdr:row>24</xdr:row>
      <xdr:rowOff>67236</xdr:rowOff>
    </xdr:from>
    <xdr:ext cx="1019175" cy="1019175"/>
    <xdr:sp macro="" textlink="">
      <xdr:nvSpPr>
        <xdr:cNvPr id="15" name="AutoShape 1" descr="blob:https://web.whatsapp.com/b32ed8d4-8a28-4324-8f1b-a1456ad4cc71">
          <a:extLst>
            <a:ext uri="{FF2B5EF4-FFF2-40B4-BE49-F238E27FC236}">
              <a16:creationId xmlns:a16="http://schemas.microsoft.com/office/drawing/2014/main" id="{0DC87BC0-3421-423E-82B5-A0483791A865}"/>
            </a:ext>
          </a:extLst>
        </xdr:cNvPr>
        <xdr:cNvSpPr>
          <a:spLocks noChangeAspect="1" noChangeArrowheads="1"/>
        </xdr:cNvSpPr>
      </xdr:nvSpPr>
      <xdr:spPr bwMode="auto">
        <a:xfrm>
          <a:off x="11070292" y="336176"/>
          <a:ext cx="1019175" cy="1019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133350</xdr:colOff>
      <xdr:row>35</xdr:row>
      <xdr:rowOff>238125</xdr:rowOff>
    </xdr:from>
    <xdr:ext cx="1019175" cy="1019175"/>
    <xdr:sp macro="" textlink="">
      <xdr:nvSpPr>
        <xdr:cNvPr id="16" name="AutoShape 1" descr="blob:https://web.whatsapp.com/b32ed8d4-8a28-4324-8f1b-a1456ad4cc71">
          <a:extLst>
            <a:ext uri="{FF2B5EF4-FFF2-40B4-BE49-F238E27FC236}">
              <a16:creationId xmlns:a16="http://schemas.microsoft.com/office/drawing/2014/main" id="{5129B46D-5A68-4C63-9B9A-A5CD3A44781F}"/>
            </a:ext>
          </a:extLst>
        </xdr:cNvPr>
        <xdr:cNvSpPr>
          <a:spLocks noChangeAspect="1" noChangeArrowheads="1"/>
        </xdr:cNvSpPr>
      </xdr:nvSpPr>
      <xdr:spPr bwMode="auto">
        <a:xfrm>
          <a:off x="11070291" y="336176"/>
          <a:ext cx="1019175" cy="1019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133351</xdr:colOff>
      <xdr:row>32</xdr:row>
      <xdr:rowOff>67236</xdr:rowOff>
    </xdr:from>
    <xdr:ext cx="1019175" cy="1019175"/>
    <xdr:sp macro="" textlink="">
      <xdr:nvSpPr>
        <xdr:cNvPr id="17" name="AutoShape 1" descr="blob:https://web.whatsapp.com/b32ed8d4-8a28-4324-8f1b-a1456ad4cc71">
          <a:extLst>
            <a:ext uri="{FF2B5EF4-FFF2-40B4-BE49-F238E27FC236}">
              <a16:creationId xmlns:a16="http://schemas.microsoft.com/office/drawing/2014/main" id="{CE9DDB19-0226-4410-A812-ECACBBDCDE1A}"/>
            </a:ext>
          </a:extLst>
        </xdr:cNvPr>
        <xdr:cNvSpPr>
          <a:spLocks noChangeAspect="1" noChangeArrowheads="1"/>
        </xdr:cNvSpPr>
      </xdr:nvSpPr>
      <xdr:spPr bwMode="auto">
        <a:xfrm>
          <a:off x="11070292" y="336176"/>
          <a:ext cx="1019175" cy="1019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133350</xdr:colOff>
      <xdr:row>36</xdr:row>
      <xdr:rowOff>238125</xdr:rowOff>
    </xdr:from>
    <xdr:ext cx="1019175" cy="1019175"/>
    <xdr:sp macro="" textlink="">
      <xdr:nvSpPr>
        <xdr:cNvPr id="18" name="AutoShape 1" descr="blob:https://web.whatsapp.com/b32ed8d4-8a28-4324-8f1b-a1456ad4cc71">
          <a:extLst>
            <a:ext uri="{FF2B5EF4-FFF2-40B4-BE49-F238E27FC236}">
              <a16:creationId xmlns:a16="http://schemas.microsoft.com/office/drawing/2014/main" id="{C76CBB78-4A5F-4EDF-9E8C-7A4B83ADB525}"/>
            </a:ext>
          </a:extLst>
        </xdr:cNvPr>
        <xdr:cNvSpPr>
          <a:spLocks noChangeAspect="1" noChangeArrowheads="1"/>
        </xdr:cNvSpPr>
      </xdr:nvSpPr>
      <xdr:spPr bwMode="auto">
        <a:xfrm>
          <a:off x="11070291" y="336176"/>
          <a:ext cx="1019175" cy="1019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133351</xdr:colOff>
      <xdr:row>33</xdr:row>
      <xdr:rowOff>67236</xdr:rowOff>
    </xdr:from>
    <xdr:ext cx="1019175" cy="1019175"/>
    <xdr:sp macro="" textlink="">
      <xdr:nvSpPr>
        <xdr:cNvPr id="19" name="AutoShape 1" descr="blob:https://web.whatsapp.com/b32ed8d4-8a28-4324-8f1b-a1456ad4cc71">
          <a:extLst>
            <a:ext uri="{FF2B5EF4-FFF2-40B4-BE49-F238E27FC236}">
              <a16:creationId xmlns:a16="http://schemas.microsoft.com/office/drawing/2014/main" id="{845CFF32-7F1F-4EFA-AB9B-D78F5DA79818}"/>
            </a:ext>
          </a:extLst>
        </xdr:cNvPr>
        <xdr:cNvSpPr>
          <a:spLocks noChangeAspect="1" noChangeArrowheads="1"/>
        </xdr:cNvSpPr>
      </xdr:nvSpPr>
      <xdr:spPr bwMode="auto">
        <a:xfrm>
          <a:off x="11070292" y="336176"/>
          <a:ext cx="1019175" cy="1019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133350</xdr:colOff>
      <xdr:row>48</xdr:row>
      <xdr:rowOff>238125</xdr:rowOff>
    </xdr:from>
    <xdr:ext cx="1019175" cy="1019175"/>
    <xdr:sp macro="" textlink="">
      <xdr:nvSpPr>
        <xdr:cNvPr id="20" name="AutoShape 1" descr="blob:https://web.whatsapp.com/b32ed8d4-8a28-4324-8f1b-a1456ad4cc71">
          <a:extLst>
            <a:ext uri="{FF2B5EF4-FFF2-40B4-BE49-F238E27FC236}">
              <a16:creationId xmlns:a16="http://schemas.microsoft.com/office/drawing/2014/main" id="{B4EDDC32-7610-493F-BAAB-2AB3498C1512}"/>
            </a:ext>
          </a:extLst>
        </xdr:cNvPr>
        <xdr:cNvSpPr>
          <a:spLocks noChangeAspect="1" noChangeArrowheads="1"/>
        </xdr:cNvSpPr>
      </xdr:nvSpPr>
      <xdr:spPr bwMode="auto">
        <a:xfrm>
          <a:off x="11070291" y="2151529"/>
          <a:ext cx="1019175" cy="1019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133351</xdr:colOff>
      <xdr:row>45</xdr:row>
      <xdr:rowOff>67236</xdr:rowOff>
    </xdr:from>
    <xdr:ext cx="1019175" cy="1019175"/>
    <xdr:sp macro="" textlink="">
      <xdr:nvSpPr>
        <xdr:cNvPr id="21" name="AutoShape 1" descr="blob:https://web.whatsapp.com/b32ed8d4-8a28-4324-8f1b-a1456ad4cc71">
          <a:extLst>
            <a:ext uri="{FF2B5EF4-FFF2-40B4-BE49-F238E27FC236}">
              <a16:creationId xmlns:a16="http://schemas.microsoft.com/office/drawing/2014/main" id="{0BFDEAC3-D455-4F13-8C3D-B8B640696D6C}"/>
            </a:ext>
          </a:extLst>
        </xdr:cNvPr>
        <xdr:cNvSpPr>
          <a:spLocks noChangeAspect="1" noChangeArrowheads="1"/>
        </xdr:cNvSpPr>
      </xdr:nvSpPr>
      <xdr:spPr bwMode="auto">
        <a:xfrm>
          <a:off x="11070292" y="2151529"/>
          <a:ext cx="1019175" cy="1019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133350</xdr:colOff>
      <xdr:row>37</xdr:row>
      <xdr:rowOff>238125</xdr:rowOff>
    </xdr:from>
    <xdr:ext cx="1019175" cy="1019175"/>
    <xdr:sp macro="" textlink="">
      <xdr:nvSpPr>
        <xdr:cNvPr id="22" name="AutoShape 1" descr="blob:https://web.whatsapp.com/b32ed8d4-8a28-4324-8f1b-a1456ad4cc71">
          <a:extLst>
            <a:ext uri="{FF2B5EF4-FFF2-40B4-BE49-F238E27FC236}">
              <a16:creationId xmlns:a16="http://schemas.microsoft.com/office/drawing/2014/main" id="{930C6A92-E74A-4B51-945D-CD1DA6A2B903}"/>
            </a:ext>
          </a:extLst>
        </xdr:cNvPr>
        <xdr:cNvSpPr>
          <a:spLocks noChangeAspect="1" noChangeArrowheads="1"/>
        </xdr:cNvSpPr>
      </xdr:nvSpPr>
      <xdr:spPr bwMode="auto">
        <a:xfrm>
          <a:off x="11070291" y="2151529"/>
          <a:ext cx="1019175" cy="1019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133350</xdr:colOff>
      <xdr:row>50</xdr:row>
      <xdr:rowOff>238125</xdr:rowOff>
    </xdr:from>
    <xdr:ext cx="1019175" cy="1019175"/>
    <xdr:sp macro="" textlink="">
      <xdr:nvSpPr>
        <xdr:cNvPr id="23" name="AutoShape 1" descr="blob:https://web.whatsapp.com/b32ed8d4-8a28-4324-8f1b-a1456ad4cc71">
          <a:extLst>
            <a:ext uri="{FF2B5EF4-FFF2-40B4-BE49-F238E27FC236}">
              <a16:creationId xmlns:a16="http://schemas.microsoft.com/office/drawing/2014/main" id="{BE8809C2-D7EE-49C7-B306-21DD6BBA835A}"/>
            </a:ext>
          </a:extLst>
        </xdr:cNvPr>
        <xdr:cNvSpPr>
          <a:spLocks noChangeAspect="1" noChangeArrowheads="1"/>
        </xdr:cNvSpPr>
      </xdr:nvSpPr>
      <xdr:spPr bwMode="auto">
        <a:xfrm>
          <a:off x="11070291" y="2151529"/>
          <a:ext cx="1019175" cy="1019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133351</xdr:colOff>
      <xdr:row>47</xdr:row>
      <xdr:rowOff>67236</xdr:rowOff>
    </xdr:from>
    <xdr:ext cx="1019175" cy="1019175"/>
    <xdr:sp macro="" textlink="">
      <xdr:nvSpPr>
        <xdr:cNvPr id="24" name="AutoShape 1" descr="blob:https://web.whatsapp.com/b32ed8d4-8a28-4324-8f1b-a1456ad4cc71">
          <a:extLst>
            <a:ext uri="{FF2B5EF4-FFF2-40B4-BE49-F238E27FC236}">
              <a16:creationId xmlns:a16="http://schemas.microsoft.com/office/drawing/2014/main" id="{DC0CE903-E47A-4ED9-85A8-689C4EDFB41D}"/>
            </a:ext>
          </a:extLst>
        </xdr:cNvPr>
        <xdr:cNvSpPr>
          <a:spLocks noChangeAspect="1" noChangeArrowheads="1"/>
        </xdr:cNvSpPr>
      </xdr:nvSpPr>
      <xdr:spPr bwMode="auto">
        <a:xfrm>
          <a:off x="11070292" y="2151529"/>
          <a:ext cx="1019175" cy="1019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133350</xdr:colOff>
      <xdr:row>39</xdr:row>
      <xdr:rowOff>238125</xdr:rowOff>
    </xdr:from>
    <xdr:ext cx="1019175" cy="1019175"/>
    <xdr:sp macro="" textlink="">
      <xdr:nvSpPr>
        <xdr:cNvPr id="25" name="AutoShape 1" descr="blob:https://web.whatsapp.com/b32ed8d4-8a28-4324-8f1b-a1456ad4cc71">
          <a:extLst>
            <a:ext uri="{FF2B5EF4-FFF2-40B4-BE49-F238E27FC236}">
              <a16:creationId xmlns:a16="http://schemas.microsoft.com/office/drawing/2014/main" id="{52BEBD75-515C-4CB1-B818-4C98FF477698}"/>
            </a:ext>
          </a:extLst>
        </xdr:cNvPr>
        <xdr:cNvSpPr>
          <a:spLocks noChangeAspect="1" noChangeArrowheads="1"/>
        </xdr:cNvSpPr>
      </xdr:nvSpPr>
      <xdr:spPr bwMode="auto">
        <a:xfrm>
          <a:off x="11070291" y="2151529"/>
          <a:ext cx="1019175" cy="1019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133350</xdr:colOff>
      <xdr:row>51</xdr:row>
      <xdr:rowOff>238125</xdr:rowOff>
    </xdr:from>
    <xdr:ext cx="1019175" cy="1019175"/>
    <xdr:sp macro="" textlink="">
      <xdr:nvSpPr>
        <xdr:cNvPr id="26" name="AutoShape 1" descr="blob:https://web.whatsapp.com/b32ed8d4-8a28-4324-8f1b-a1456ad4cc71">
          <a:extLst>
            <a:ext uri="{FF2B5EF4-FFF2-40B4-BE49-F238E27FC236}">
              <a16:creationId xmlns:a16="http://schemas.microsoft.com/office/drawing/2014/main" id="{090E0863-40C1-468A-B68B-17441EB67719}"/>
            </a:ext>
          </a:extLst>
        </xdr:cNvPr>
        <xdr:cNvSpPr>
          <a:spLocks noChangeAspect="1" noChangeArrowheads="1"/>
        </xdr:cNvSpPr>
      </xdr:nvSpPr>
      <xdr:spPr bwMode="auto">
        <a:xfrm>
          <a:off x="11070291" y="2151529"/>
          <a:ext cx="1019175" cy="1019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133351</xdr:colOff>
      <xdr:row>48</xdr:row>
      <xdr:rowOff>67236</xdr:rowOff>
    </xdr:from>
    <xdr:ext cx="1019175" cy="1019175"/>
    <xdr:sp macro="" textlink="">
      <xdr:nvSpPr>
        <xdr:cNvPr id="27" name="AutoShape 1" descr="blob:https://web.whatsapp.com/b32ed8d4-8a28-4324-8f1b-a1456ad4cc71">
          <a:extLst>
            <a:ext uri="{FF2B5EF4-FFF2-40B4-BE49-F238E27FC236}">
              <a16:creationId xmlns:a16="http://schemas.microsoft.com/office/drawing/2014/main" id="{D8CA6786-D078-4694-870F-714930A1EBF9}"/>
            </a:ext>
          </a:extLst>
        </xdr:cNvPr>
        <xdr:cNvSpPr>
          <a:spLocks noChangeAspect="1" noChangeArrowheads="1"/>
        </xdr:cNvSpPr>
      </xdr:nvSpPr>
      <xdr:spPr bwMode="auto">
        <a:xfrm>
          <a:off x="11070292" y="2151529"/>
          <a:ext cx="1019175" cy="1019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133350</xdr:colOff>
      <xdr:row>40</xdr:row>
      <xdr:rowOff>238125</xdr:rowOff>
    </xdr:from>
    <xdr:ext cx="1019175" cy="1019175"/>
    <xdr:sp macro="" textlink="">
      <xdr:nvSpPr>
        <xdr:cNvPr id="28" name="AutoShape 1" descr="blob:https://web.whatsapp.com/b32ed8d4-8a28-4324-8f1b-a1456ad4cc71">
          <a:extLst>
            <a:ext uri="{FF2B5EF4-FFF2-40B4-BE49-F238E27FC236}">
              <a16:creationId xmlns:a16="http://schemas.microsoft.com/office/drawing/2014/main" id="{FAE1289F-E440-42BA-9093-D8544FCBBAF8}"/>
            </a:ext>
          </a:extLst>
        </xdr:cNvPr>
        <xdr:cNvSpPr>
          <a:spLocks noChangeAspect="1" noChangeArrowheads="1"/>
        </xdr:cNvSpPr>
      </xdr:nvSpPr>
      <xdr:spPr bwMode="auto">
        <a:xfrm>
          <a:off x="11070291" y="2151529"/>
          <a:ext cx="1019175" cy="1019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133350</xdr:colOff>
      <xdr:row>51</xdr:row>
      <xdr:rowOff>238125</xdr:rowOff>
    </xdr:from>
    <xdr:ext cx="1019175" cy="1019175"/>
    <xdr:sp macro="" textlink="">
      <xdr:nvSpPr>
        <xdr:cNvPr id="29" name="AutoShape 1" descr="blob:https://web.whatsapp.com/b32ed8d4-8a28-4324-8f1b-a1456ad4cc71">
          <a:extLst>
            <a:ext uri="{FF2B5EF4-FFF2-40B4-BE49-F238E27FC236}">
              <a16:creationId xmlns:a16="http://schemas.microsoft.com/office/drawing/2014/main" id="{839FF382-0FC3-4D33-982B-1387EDFA3DCD}"/>
            </a:ext>
          </a:extLst>
        </xdr:cNvPr>
        <xdr:cNvSpPr>
          <a:spLocks noChangeAspect="1" noChangeArrowheads="1"/>
        </xdr:cNvSpPr>
      </xdr:nvSpPr>
      <xdr:spPr bwMode="auto">
        <a:xfrm>
          <a:off x="11070291" y="2151529"/>
          <a:ext cx="1019175" cy="1019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133351</xdr:colOff>
      <xdr:row>48</xdr:row>
      <xdr:rowOff>67236</xdr:rowOff>
    </xdr:from>
    <xdr:ext cx="1019175" cy="1019175"/>
    <xdr:sp macro="" textlink="">
      <xdr:nvSpPr>
        <xdr:cNvPr id="30" name="AutoShape 1" descr="blob:https://web.whatsapp.com/b32ed8d4-8a28-4324-8f1b-a1456ad4cc71">
          <a:extLst>
            <a:ext uri="{FF2B5EF4-FFF2-40B4-BE49-F238E27FC236}">
              <a16:creationId xmlns:a16="http://schemas.microsoft.com/office/drawing/2014/main" id="{0C215A6F-901E-493E-BA47-7CDF9BA74081}"/>
            </a:ext>
          </a:extLst>
        </xdr:cNvPr>
        <xdr:cNvSpPr>
          <a:spLocks noChangeAspect="1" noChangeArrowheads="1"/>
        </xdr:cNvSpPr>
      </xdr:nvSpPr>
      <xdr:spPr bwMode="auto">
        <a:xfrm>
          <a:off x="11070292" y="2151529"/>
          <a:ext cx="1019175" cy="1019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133350</xdr:colOff>
      <xdr:row>40</xdr:row>
      <xdr:rowOff>238125</xdr:rowOff>
    </xdr:from>
    <xdr:ext cx="1019175" cy="1019175"/>
    <xdr:sp macro="" textlink="">
      <xdr:nvSpPr>
        <xdr:cNvPr id="31" name="AutoShape 1" descr="blob:https://web.whatsapp.com/b32ed8d4-8a28-4324-8f1b-a1456ad4cc71">
          <a:extLst>
            <a:ext uri="{FF2B5EF4-FFF2-40B4-BE49-F238E27FC236}">
              <a16:creationId xmlns:a16="http://schemas.microsoft.com/office/drawing/2014/main" id="{0307D5EC-2B7B-41A2-9E01-9579A5EED3F1}"/>
            </a:ext>
          </a:extLst>
        </xdr:cNvPr>
        <xdr:cNvSpPr>
          <a:spLocks noChangeAspect="1" noChangeArrowheads="1"/>
        </xdr:cNvSpPr>
      </xdr:nvSpPr>
      <xdr:spPr bwMode="auto">
        <a:xfrm>
          <a:off x="11070291" y="2151529"/>
          <a:ext cx="1019175" cy="1019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133350</xdr:colOff>
      <xdr:row>52</xdr:row>
      <xdr:rowOff>238125</xdr:rowOff>
    </xdr:from>
    <xdr:ext cx="1019175" cy="1019175"/>
    <xdr:sp macro="" textlink="">
      <xdr:nvSpPr>
        <xdr:cNvPr id="32" name="AutoShape 1" descr="blob:https://web.whatsapp.com/b32ed8d4-8a28-4324-8f1b-a1456ad4cc71">
          <a:extLst>
            <a:ext uri="{FF2B5EF4-FFF2-40B4-BE49-F238E27FC236}">
              <a16:creationId xmlns:a16="http://schemas.microsoft.com/office/drawing/2014/main" id="{4FBBF766-6B59-4640-8B9F-38A89AE91B76}"/>
            </a:ext>
          </a:extLst>
        </xdr:cNvPr>
        <xdr:cNvSpPr>
          <a:spLocks noChangeAspect="1" noChangeArrowheads="1"/>
        </xdr:cNvSpPr>
      </xdr:nvSpPr>
      <xdr:spPr bwMode="auto">
        <a:xfrm>
          <a:off x="11070291" y="2151529"/>
          <a:ext cx="1019175" cy="1019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133351</xdr:colOff>
      <xdr:row>49</xdr:row>
      <xdr:rowOff>67236</xdr:rowOff>
    </xdr:from>
    <xdr:ext cx="1019175" cy="1019175"/>
    <xdr:sp macro="" textlink="">
      <xdr:nvSpPr>
        <xdr:cNvPr id="33" name="AutoShape 1" descr="blob:https://web.whatsapp.com/b32ed8d4-8a28-4324-8f1b-a1456ad4cc71">
          <a:extLst>
            <a:ext uri="{FF2B5EF4-FFF2-40B4-BE49-F238E27FC236}">
              <a16:creationId xmlns:a16="http://schemas.microsoft.com/office/drawing/2014/main" id="{8D898A18-283F-4795-B413-D0FF2372A1A9}"/>
            </a:ext>
          </a:extLst>
        </xdr:cNvPr>
        <xdr:cNvSpPr>
          <a:spLocks noChangeAspect="1" noChangeArrowheads="1"/>
        </xdr:cNvSpPr>
      </xdr:nvSpPr>
      <xdr:spPr bwMode="auto">
        <a:xfrm>
          <a:off x="11070292" y="2151529"/>
          <a:ext cx="1019175" cy="1019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133350</xdr:colOff>
      <xdr:row>41</xdr:row>
      <xdr:rowOff>238125</xdr:rowOff>
    </xdr:from>
    <xdr:ext cx="1019175" cy="1019175"/>
    <xdr:sp macro="" textlink="">
      <xdr:nvSpPr>
        <xdr:cNvPr id="34" name="AutoShape 1" descr="blob:https://web.whatsapp.com/b32ed8d4-8a28-4324-8f1b-a1456ad4cc71">
          <a:extLst>
            <a:ext uri="{FF2B5EF4-FFF2-40B4-BE49-F238E27FC236}">
              <a16:creationId xmlns:a16="http://schemas.microsoft.com/office/drawing/2014/main" id="{C17F8DB4-A920-4595-8FCD-E78777DA2FE6}"/>
            </a:ext>
          </a:extLst>
        </xdr:cNvPr>
        <xdr:cNvSpPr>
          <a:spLocks noChangeAspect="1" noChangeArrowheads="1"/>
        </xdr:cNvSpPr>
      </xdr:nvSpPr>
      <xdr:spPr bwMode="auto">
        <a:xfrm>
          <a:off x="11070291" y="2151529"/>
          <a:ext cx="1019175" cy="1019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133351</xdr:colOff>
      <xdr:row>51</xdr:row>
      <xdr:rowOff>67236</xdr:rowOff>
    </xdr:from>
    <xdr:ext cx="1019175" cy="1019175"/>
    <xdr:sp macro="" textlink="">
      <xdr:nvSpPr>
        <xdr:cNvPr id="35" name="AutoShape 1" descr="blob:https://web.whatsapp.com/b32ed8d4-8a28-4324-8f1b-a1456ad4cc71">
          <a:extLst>
            <a:ext uri="{FF2B5EF4-FFF2-40B4-BE49-F238E27FC236}">
              <a16:creationId xmlns:a16="http://schemas.microsoft.com/office/drawing/2014/main" id="{6548DCE0-E20E-4B2C-9B58-6508FE1300AF}"/>
            </a:ext>
          </a:extLst>
        </xdr:cNvPr>
        <xdr:cNvSpPr>
          <a:spLocks noChangeAspect="1" noChangeArrowheads="1"/>
        </xdr:cNvSpPr>
      </xdr:nvSpPr>
      <xdr:spPr bwMode="auto">
        <a:xfrm>
          <a:off x="11070292" y="2151529"/>
          <a:ext cx="1019175" cy="1019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133350</xdr:colOff>
      <xdr:row>43</xdr:row>
      <xdr:rowOff>238125</xdr:rowOff>
    </xdr:from>
    <xdr:ext cx="1019175" cy="1019175"/>
    <xdr:sp macro="" textlink="">
      <xdr:nvSpPr>
        <xdr:cNvPr id="36" name="AutoShape 1" descr="blob:https://web.whatsapp.com/b32ed8d4-8a28-4324-8f1b-a1456ad4cc71">
          <a:extLst>
            <a:ext uri="{FF2B5EF4-FFF2-40B4-BE49-F238E27FC236}">
              <a16:creationId xmlns:a16="http://schemas.microsoft.com/office/drawing/2014/main" id="{4EF7F968-BC8B-4B77-B78C-3DAAB3C5C9E9}"/>
            </a:ext>
          </a:extLst>
        </xdr:cNvPr>
        <xdr:cNvSpPr>
          <a:spLocks noChangeAspect="1" noChangeArrowheads="1"/>
        </xdr:cNvSpPr>
      </xdr:nvSpPr>
      <xdr:spPr bwMode="auto">
        <a:xfrm>
          <a:off x="11070291" y="2151529"/>
          <a:ext cx="1019175" cy="1019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133351</xdr:colOff>
      <xdr:row>52</xdr:row>
      <xdr:rowOff>67236</xdr:rowOff>
    </xdr:from>
    <xdr:ext cx="1019175" cy="1019175"/>
    <xdr:sp macro="" textlink="">
      <xdr:nvSpPr>
        <xdr:cNvPr id="37" name="AutoShape 1" descr="blob:https://web.whatsapp.com/b32ed8d4-8a28-4324-8f1b-a1456ad4cc71">
          <a:extLst>
            <a:ext uri="{FF2B5EF4-FFF2-40B4-BE49-F238E27FC236}">
              <a16:creationId xmlns:a16="http://schemas.microsoft.com/office/drawing/2014/main" id="{87E1CE10-16E8-4BBB-9A5B-EF5811B4B1D7}"/>
            </a:ext>
          </a:extLst>
        </xdr:cNvPr>
        <xdr:cNvSpPr>
          <a:spLocks noChangeAspect="1" noChangeArrowheads="1"/>
        </xdr:cNvSpPr>
      </xdr:nvSpPr>
      <xdr:spPr bwMode="auto">
        <a:xfrm>
          <a:off x="11070292" y="2151529"/>
          <a:ext cx="1019175" cy="1019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133350</xdr:colOff>
      <xdr:row>44</xdr:row>
      <xdr:rowOff>238125</xdr:rowOff>
    </xdr:from>
    <xdr:ext cx="1019175" cy="1019175"/>
    <xdr:sp macro="" textlink="">
      <xdr:nvSpPr>
        <xdr:cNvPr id="38" name="AutoShape 1" descr="blob:https://web.whatsapp.com/b32ed8d4-8a28-4324-8f1b-a1456ad4cc71">
          <a:extLst>
            <a:ext uri="{FF2B5EF4-FFF2-40B4-BE49-F238E27FC236}">
              <a16:creationId xmlns:a16="http://schemas.microsoft.com/office/drawing/2014/main" id="{02E09279-630E-45DC-9910-2A626FBD4713}"/>
            </a:ext>
          </a:extLst>
        </xdr:cNvPr>
        <xdr:cNvSpPr>
          <a:spLocks noChangeAspect="1" noChangeArrowheads="1"/>
        </xdr:cNvSpPr>
      </xdr:nvSpPr>
      <xdr:spPr bwMode="auto">
        <a:xfrm>
          <a:off x="11070291" y="2151529"/>
          <a:ext cx="1019175" cy="1019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133350</xdr:colOff>
      <xdr:row>55</xdr:row>
      <xdr:rowOff>238125</xdr:rowOff>
    </xdr:from>
    <xdr:ext cx="1019175" cy="1019175"/>
    <xdr:sp macro="" textlink="">
      <xdr:nvSpPr>
        <xdr:cNvPr id="39" name="AutoShape 1" descr="blob:https://web.whatsapp.com/b32ed8d4-8a28-4324-8f1b-a1456ad4cc71">
          <a:extLst>
            <a:ext uri="{FF2B5EF4-FFF2-40B4-BE49-F238E27FC236}">
              <a16:creationId xmlns:a16="http://schemas.microsoft.com/office/drawing/2014/main" id="{76C6215B-88C9-4CE1-BEB7-32B546DCC1B7}"/>
            </a:ext>
          </a:extLst>
        </xdr:cNvPr>
        <xdr:cNvSpPr>
          <a:spLocks noChangeAspect="1" noChangeArrowheads="1"/>
        </xdr:cNvSpPr>
      </xdr:nvSpPr>
      <xdr:spPr bwMode="auto">
        <a:xfrm>
          <a:off x="11070291" y="3361765"/>
          <a:ext cx="1019175" cy="1019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133351</xdr:colOff>
      <xdr:row>55</xdr:row>
      <xdr:rowOff>67236</xdr:rowOff>
    </xdr:from>
    <xdr:ext cx="1019175" cy="1019175"/>
    <xdr:sp macro="" textlink="">
      <xdr:nvSpPr>
        <xdr:cNvPr id="40" name="AutoShape 1" descr="blob:https://web.whatsapp.com/b32ed8d4-8a28-4324-8f1b-a1456ad4cc71">
          <a:extLst>
            <a:ext uri="{FF2B5EF4-FFF2-40B4-BE49-F238E27FC236}">
              <a16:creationId xmlns:a16="http://schemas.microsoft.com/office/drawing/2014/main" id="{4EA6130C-9F28-43BE-9E94-C6478AAB0A74}"/>
            </a:ext>
          </a:extLst>
        </xdr:cNvPr>
        <xdr:cNvSpPr>
          <a:spLocks noChangeAspect="1" noChangeArrowheads="1"/>
        </xdr:cNvSpPr>
      </xdr:nvSpPr>
      <xdr:spPr bwMode="auto">
        <a:xfrm>
          <a:off x="11070292" y="3361765"/>
          <a:ext cx="1019175" cy="1019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133350</xdr:colOff>
      <xdr:row>57</xdr:row>
      <xdr:rowOff>238125</xdr:rowOff>
    </xdr:from>
    <xdr:ext cx="1019175" cy="1019175"/>
    <xdr:sp macro="" textlink="">
      <xdr:nvSpPr>
        <xdr:cNvPr id="41" name="AutoShape 1" descr="blob:https://web.whatsapp.com/b32ed8d4-8a28-4324-8f1b-a1456ad4cc71">
          <a:extLst>
            <a:ext uri="{FF2B5EF4-FFF2-40B4-BE49-F238E27FC236}">
              <a16:creationId xmlns:a16="http://schemas.microsoft.com/office/drawing/2014/main" id="{3F69EDCA-4A88-4720-BB6B-11DF2C1781B1}"/>
            </a:ext>
          </a:extLst>
        </xdr:cNvPr>
        <xdr:cNvSpPr>
          <a:spLocks noChangeAspect="1" noChangeArrowheads="1"/>
        </xdr:cNvSpPr>
      </xdr:nvSpPr>
      <xdr:spPr bwMode="auto">
        <a:xfrm>
          <a:off x="11070291" y="4810125"/>
          <a:ext cx="1019175" cy="1019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133351</xdr:colOff>
      <xdr:row>57</xdr:row>
      <xdr:rowOff>67236</xdr:rowOff>
    </xdr:from>
    <xdr:ext cx="1019175" cy="1019175"/>
    <xdr:sp macro="" textlink="">
      <xdr:nvSpPr>
        <xdr:cNvPr id="42" name="AutoShape 1" descr="blob:https://web.whatsapp.com/b32ed8d4-8a28-4324-8f1b-a1456ad4cc71">
          <a:extLst>
            <a:ext uri="{FF2B5EF4-FFF2-40B4-BE49-F238E27FC236}">
              <a16:creationId xmlns:a16="http://schemas.microsoft.com/office/drawing/2014/main" id="{E7A23095-E65E-454E-AFE8-DC06DDDB1A44}"/>
            </a:ext>
          </a:extLst>
        </xdr:cNvPr>
        <xdr:cNvSpPr>
          <a:spLocks noChangeAspect="1" noChangeArrowheads="1"/>
        </xdr:cNvSpPr>
      </xdr:nvSpPr>
      <xdr:spPr bwMode="auto">
        <a:xfrm>
          <a:off x="11070292" y="4639236"/>
          <a:ext cx="1019175" cy="1019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133351</xdr:colOff>
      <xdr:row>63</xdr:row>
      <xdr:rowOff>67236</xdr:rowOff>
    </xdr:from>
    <xdr:ext cx="1019175" cy="1019175"/>
    <xdr:sp macro="" textlink="">
      <xdr:nvSpPr>
        <xdr:cNvPr id="45" name="AutoShape 1" descr="blob:https://web.whatsapp.com/b32ed8d4-8a28-4324-8f1b-a1456ad4cc71">
          <a:extLst>
            <a:ext uri="{FF2B5EF4-FFF2-40B4-BE49-F238E27FC236}">
              <a16:creationId xmlns:a16="http://schemas.microsoft.com/office/drawing/2014/main" id="{5851BDD0-1D49-4027-B9EB-5525ACE0204D}"/>
            </a:ext>
          </a:extLst>
        </xdr:cNvPr>
        <xdr:cNvSpPr>
          <a:spLocks noChangeAspect="1" noChangeArrowheads="1"/>
        </xdr:cNvSpPr>
      </xdr:nvSpPr>
      <xdr:spPr bwMode="auto">
        <a:xfrm>
          <a:off x="11070292" y="5849471"/>
          <a:ext cx="1019175" cy="1019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9</xdr:col>
      <xdr:colOff>133351</xdr:colOff>
      <xdr:row>65</xdr:row>
      <xdr:rowOff>67236</xdr:rowOff>
    </xdr:from>
    <xdr:ext cx="1019175" cy="1019175"/>
    <xdr:sp macro="" textlink="">
      <xdr:nvSpPr>
        <xdr:cNvPr id="46" name="AutoShape 1" descr="blob:https://web.whatsapp.com/b32ed8d4-8a28-4324-8f1b-a1456ad4cc71">
          <a:extLst>
            <a:ext uri="{FF2B5EF4-FFF2-40B4-BE49-F238E27FC236}">
              <a16:creationId xmlns:a16="http://schemas.microsoft.com/office/drawing/2014/main" id="{2219D374-80C0-417C-BA54-24818E8F6EAF}"/>
            </a:ext>
          </a:extLst>
        </xdr:cNvPr>
        <xdr:cNvSpPr>
          <a:spLocks noChangeAspect="1" noChangeArrowheads="1"/>
        </xdr:cNvSpPr>
      </xdr:nvSpPr>
      <xdr:spPr bwMode="auto">
        <a:xfrm>
          <a:off x="11070292" y="5849471"/>
          <a:ext cx="1019175" cy="1019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1055;&#1077;&#1088;&#1077;&#1084;&#1077;&#1085;&#1085;&#1072;&#1103;%20&#1095;&#1072;&#1089;&#1090;&#1100;%20&#1079;&#1072;%20&#1086;&#1082;&#1090;&#1103;&#1073;&#1088;&#1100;%20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значение"/>
    </sheetNames>
    <sheetDataSet>
      <sheetData sheetId="0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Сергей Казанцев" refreshedDate="46157.500948379631" createdVersion="7" refreshedVersion="7" minRefreshableVersion="3" recordCount="26" xr:uid="{EEAFEC3C-F811-48EE-8726-06956AEFBE1E}">
  <cacheSource type="worksheet">
    <worksheetSource ref="C1:L108" sheet="АБ"/>
  </cacheSource>
  <cacheFields count="10">
    <cacheField name="Выписка" numFmtId="0">
      <sharedItems containsBlank="1"/>
    </cacheField>
    <cacheField name="Город" numFmtId="0">
      <sharedItems containsBlank="1"/>
    </cacheField>
    <cacheField name="Наименование объекта" numFmtId="0">
      <sharedItems containsBlank="1"/>
    </cacheField>
    <cacheField name="БИН" numFmtId="0">
      <sharedItems containsString="0" containsBlank="1" containsNumber="1" containsInteger="1" minValue="30240002622" maxValue="990440003835"/>
    </cacheField>
    <cacheField name="Дата оплаты" numFmtId="0">
      <sharedItems containsNonDate="0" containsDate="1" containsString="0" containsBlank="1" minDate="2026-04-06T00:00:00" maxDate="2026-05-01T00:00:00"/>
    </cacheField>
    <cacheField name="Сумма" numFmtId="164">
      <sharedItems containsString="0" containsBlank="1" containsNumber="1" containsInteger="1" minValue="2568" maxValue="2094003"/>
    </cacheField>
    <cacheField name="Накладные расходы" numFmtId="0">
      <sharedItems containsString="0" containsBlank="1" containsNumber="1" containsInteger="1" minValue="0" maxValue="30"/>
    </cacheField>
    <cacheField name="Потери" numFmtId="0">
      <sharedItems containsString="0" containsBlank="1" containsNumber="1" minValue="0" maxValue="348651.49950000003"/>
    </cacheField>
    <cacheField name="Чистая сумма" numFmtId="0">
      <sharedItems containsString="0" containsBlank="1" containsNumber="1" minValue="2568" maxValue="1745351.5005000001"/>
    </cacheField>
    <cacheField name="Менеджер" numFmtId="0">
      <sharedItems containsBlank="1" count="11">
        <s v="Митянина Екатерина "/>
        <s v="Сойнова Инна "/>
        <s v="Сергей Котельников"/>
        <s v="Айнагуль Дарбаева"/>
        <s v="Данияр Дентаев"/>
        <s v="Дулат Малик"/>
        <s v="Макпал Сансызбеккызы"/>
        <s v="Назира Кожаева"/>
        <s v="Казанцев Сергей"/>
        <s v="Елена Гречаник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Сергей Казанцев" refreshedDate="46157.512530439817" createdVersion="7" refreshedVersion="7" minRefreshableVersion="3" recordCount="278" xr:uid="{B49FE726-DBB3-4F44-8B67-FDC9CD7954E8}">
  <cacheSource type="worksheet">
    <worksheetSource ref="B1:K421" sheet="ПК"/>
  </cacheSource>
  <cacheFields count="10">
    <cacheField name="Выписка" numFmtId="0">
      <sharedItems containsBlank="1"/>
    </cacheField>
    <cacheField name="Город" numFmtId="0">
      <sharedItems containsBlank="1"/>
    </cacheField>
    <cacheField name="Наименование объекта" numFmtId="0">
      <sharedItems containsBlank="1"/>
    </cacheField>
    <cacheField name="БИН" numFmtId="0">
      <sharedItems containsString="0" containsBlank="1" containsNumber="1" containsInteger="1" minValue="240003902" maxValue="991140003807"/>
    </cacheField>
    <cacheField name="Дата оплаты" numFmtId="0">
      <sharedItems containsDate="1" containsBlank="1" containsMixedTypes="1" minDate="2026-04-01T00:00:00" maxDate="2026-05-01T00:00:00"/>
    </cacheField>
    <cacheField name="Сумма" numFmtId="164">
      <sharedItems containsString="0" containsBlank="1" containsNumber="1" minValue="300" maxValue="16750117.93"/>
    </cacheField>
    <cacheField name="Накладные расходы" numFmtId="0">
      <sharedItems containsString="0" containsBlank="1" containsNumber="1" containsInteger="1" minValue="0" maxValue="50"/>
    </cacheField>
    <cacheField name="Потери" numFmtId="0">
      <sharedItems containsString="0" containsBlank="1" containsNumber="1" minValue="0" maxValue="2697292.8671400002"/>
    </cacheField>
    <cacheField name="Чистая сумма" numFmtId="0">
      <sharedItems containsString="0" containsBlank="1" containsNumber="1" minValue="0" maxValue="14890854.83977"/>
    </cacheField>
    <cacheField name="Менеджер" numFmtId="0">
      <sharedItems containsBlank="1" count="16">
        <s v="Митянина Екатерина"/>
        <s v="Сойнова Инна "/>
        <s v="Аниров Темирлан"/>
        <s v="Митянина  Екатерина "/>
        <s v="Иманбек Сыздыков"/>
        <s v="Руслан Ли"/>
        <s v="Малика Нуршина"/>
        <s v="Казанцев Сергей"/>
        <s v="Данияр Дентаев"/>
        <s v="Айнагуль Дарбаева"/>
        <s v="Макпал Сансызбеккызы"/>
        <s v="Назира Кожаева"/>
        <s v="Дулат Малик"/>
        <s v="Елена Гречаник"/>
        <s v="Сергей Котельиков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Еркеназ Тлек" refreshedDate="46160.652703703701" createdVersion="7" refreshedVersion="7" minRefreshableVersion="3" recordCount="31" xr:uid="{859CD773-FF24-4A9D-9FD2-9812B91BF1C2}">
  <cacheSource type="worksheet">
    <worksheetSource ref="C1:K32" sheet="СД"/>
  </cacheSource>
  <cacheFields count="9">
    <cacheField name="Город" numFmtId="0">
      <sharedItems containsNonDate="0" containsString="0" containsBlank="1"/>
    </cacheField>
    <cacheField name="Наименование объекта" numFmtId="0">
      <sharedItems containsNonDate="0" containsString="0" containsBlank="1"/>
    </cacheField>
    <cacheField name="БИН" numFmtId="0">
      <sharedItems containsNonDate="0" containsString="0" containsBlank="1"/>
    </cacheField>
    <cacheField name="Дата оплаты" numFmtId="0">
      <sharedItems containsNonDate="0" containsString="0" containsBlank="1"/>
    </cacheField>
    <cacheField name="Сумма" numFmtId="0">
      <sharedItems containsNonDate="0" containsString="0" containsBlank="1"/>
    </cacheField>
    <cacheField name="Накладные расходы" numFmtId="0">
      <sharedItems containsNonDate="0" containsString="0" containsBlank="1"/>
    </cacheField>
    <cacheField name="Потери" numFmtId="2">
      <sharedItems containsSemiMixedTypes="0" containsString="0" containsNumber="1" containsInteger="1" minValue="0" maxValue="0"/>
    </cacheField>
    <cacheField name="Чистая сумма" numFmtId="2">
      <sharedItems containsSemiMixedTypes="0" containsString="0" containsNumber="1" containsInteger="1" minValue="0" maxValue="0"/>
    </cacheField>
    <cacheField name="Менеджер" numFmtId="0">
      <sharedItems containsNonDate="0" containsBlank="1" count="30">
        <m/>
        <s v="Малик Дулат" u="1"/>
        <s v="Дулат Малик" u="1"/>
        <s v="Ерик Туленбаев" u="1"/>
        <s v="Султанбекова Лаура" u="1"/>
        <s v="Кожаева Назира" u="1"/>
        <s v="Инна Сойнова" u="1"/>
        <s v="Багандыкова Вероника" u="1"/>
        <s v="Туленбаев Ерик" u="1"/>
        <s v="Аниров Темирлан" u="1"/>
        <s v="Богданова Оксана" u="1"/>
        <s v="Иманбек Сыздыков" u="1"/>
        <s v="Назира Кожаева" u="1"/>
        <s v="Котельников Сергей" u="1"/>
        <s v="Алия Мараткызы" u="1"/>
        <s v="Казанцев Сергей" u="1"/>
        <s v="Лаура Султанбекова" u="1"/>
        <s v="Жигер Бакаев" u="1"/>
        <s v="Макпал Сансызбеккызы" u="1"/>
        <s v="Мараткызы Алия" u="1"/>
        <s v="Ислам Духамбаев" u="1"/>
        <s v="Митянина Екатерина" u="1"/>
        <s v="Екатерина Митянина" u="1"/>
        <s v="Руслан Ли" u="1"/>
        <s v="Сойнова Инна" u="1"/>
        <s v="Сансызбеккызы Макпал" u="1"/>
        <s v="Духамбаев Ислам" u="1"/>
        <s v="Сыздыков Иманбек" u="1"/>
        <s v="Елена Гречаник" u="1"/>
        <s v="Зикенова Турсынай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">
  <r>
    <s v="АБ ВКО"/>
    <s v="Караганда"/>
    <s v="Коммунальное государственное предприятие &quot;Поликлиника №1 города Караганды&quot; управления здравоохранения Карагандинской области"/>
    <n v="990140001888"/>
    <d v="2026-04-22T00:00:00"/>
    <n v="71205"/>
    <m/>
    <n v="0"/>
    <n v="71205"/>
    <x v="0"/>
  </r>
  <r>
    <s v="АБ ВКО"/>
    <s v="Караганда"/>
    <s v="КГУ &quot;Станция юных туристов&quot; отдела образования города Караганды управления образования Карагандинской области"/>
    <n v="241140017386"/>
    <d v="2026-04-22T00:00:00"/>
    <n v="127500"/>
    <n v="10"/>
    <n v="14152.500000000002"/>
    <n v="113347.5"/>
    <x v="1"/>
  </r>
  <r>
    <m/>
    <s v="Караганда "/>
    <s v="Товарищество с ограниченной ответственностью &quot;Детский сад &quot;Армашка&quot;"/>
    <n v="160640006636"/>
    <d v="2026-04-17T00:00:00"/>
    <n v="19800"/>
    <n v="0"/>
    <n v="0"/>
    <n v="19800"/>
    <x v="1"/>
  </r>
  <r>
    <m/>
    <s v="Караганда "/>
    <s v="физ лицо "/>
    <m/>
    <d v="2026-04-15T00:00:00"/>
    <n v="2568"/>
    <n v="0"/>
    <n v="0"/>
    <n v="2568"/>
    <x v="1"/>
  </r>
  <r>
    <m/>
    <s v="Караганда "/>
    <s v="физ лицо "/>
    <m/>
    <d v="2026-04-24T00:00:00"/>
    <n v="2690"/>
    <n v="0"/>
    <n v="0"/>
    <n v="2690"/>
    <x v="1"/>
  </r>
  <r>
    <s v="АБ ВКО"/>
    <s v="Астана"/>
    <s v="Коммунальное государственное учреждение &quot;Кабинет психолого- педагогической коррекции № 5&quot; акимата города Астаны"/>
    <n v="240940014605"/>
    <d v="2026-04-30T00:00:00"/>
    <n v="767998"/>
    <n v="30"/>
    <n v="255743.334"/>
    <n v="512254.66599999997"/>
    <x v="1"/>
  </r>
  <r>
    <s v="АБ ВКО"/>
    <s v="Атырау"/>
    <s v="КГУ &quot;Школа-гимназия №41 имени Әбіша Кекілбайұлы&quot; отдела образования города Атырау Управления образования Атырауской области&quot;"/>
    <n v="210240021805"/>
    <d v="2026-04-10T00:00:00"/>
    <n v="73249"/>
    <n v="10"/>
    <n v="8130.6390000000001"/>
    <n v="65118.360999999997"/>
    <x v="2"/>
  </r>
  <r>
    <s v="АБ ВКО"/>
    <s v="Актобе"/>
    <s v="Коммунальное государственное учреждение &quot;Областная санаторная школа-интернат&quot; государственного учреждения &quot;Управление образования Актюбинско"/>
    <n v="970940002138"/>
    <d v="2026-04-23T00:00:00"/>
    <n v="236291"/>
    <n v="10"/>
    <n v="26228.300999999999"/>
    <n v="210062.69899999999"/>
    <x v="3"/>
  </r>
  <r>
    <s v="БХТ"/>
    <s v="Актобе"/>
    <s v="КГУ &quot;Центр подготовки олимпийского резерва&quot; ГУ &quot;Управление физической культуры, спорта и туризма Актюбинской области&quot;"/>
    <n v="50940005943"/>
    <d v="2026-04-24T00:00:00"/>
    <n v="235719"/>
    <n v="10"/>
    <n v="26164.809000000005"/>
    <n v="209554.19099999999"/>
    <x v="4"/>
  </r>
  <r>
    <s v="АБ ВКО"/>
    <s v="Алматы"/>
    <s v="Коммунальное государственное учреждение &quot;Специальный ясли -сад для детей с тяжелыми нарушениями речи №145&quot; Управления образования города"/>
    <n v="990440003835"/>
    <d v="2026-04-06T00:00:00"/>
    <n v="256000"/>
    <n v="20"/>
    <n v="56832.000000000007"/>
    <n v="199168"/>
    <x v="5"/>
  </r>
  <r>
    <s v="АБ ВКО"/>
    <s v="Алматы"/>
    <s v="Государственное коммунальное казенное предприятие &quot;Ясли-сад №90&quot; Управления образования города Алматы"/>
    <n v="990340005144"/>
    <d v="2026-04-07T00:00:00"/>
    <n v="74080"/>
    <n v="20"/>
    <n v="16445.760000000002"/>
    <n v="57634.239999999998"/>
    <x v="6"/>
  </r>
  <r>
    <s v="АБ ВКО"/>
    <s v="Алматы"/>
    <s v="КГУ &quot;Общеобразовательная школа №97&quot; Управления образования города Алматы"/>
    <n v="961140000718"/>
    <d v="2026-04-09T00:00:00"/>
    <n v="2086503"/>
    <n v="15"/>
    <n v="347402.74950000003"/>
    <n v="1739100.2505000001"/>
    <x v="7"/>
  </r>
  <r>
    <s v="АБ ВКО"/>
    <s v="Алматы"/>
    <s v="КГУ &quot;Общеобразовательная школа №109&quot; Управления образования города Алматы"/>
    <n v="990440002916"/>
    <d v="2026-04-29T00:00:00"/>
    <n v="251247"/>
    <n v="20"/>
    <n v="55776.83400000001"/>
    <n v="195470.166"/>
    <x v="5"/>
  </r>
  <r>
    <s v="АБ ВКО"/>
    <s v="Алматы"/>
    <s v="КГУ &quot;Общеобразовательная школа №109&quot; Управления образования города Алматы"/>
    <n v="990440002916"/>
    <d v="2026-04-30T00:00:00"/>
    <n v="133422"/>
    <n v="20"/>
    <n v="29619.684000000005"/>
    <n v="103802.31599999999"/>
    <x v="5"/>
  </r>
  <r>
    <s v="АБ ВКО"/>
    <s v="Алматы"/>
    <s v="КГУ &quot;Школа-гимназия № 78&quot; Управления образования города Алматы"/>
    <n v="961140001092"/>
    <d v="2026-04-30T00:00:00"/>
    <n v="321247"/>
    <n v="20"/>
    <n v="71316.834000000003"/>
    <n v="249930.166"/>
    <x v="5"/>
  </r>
  <r>
    <s v="АБ ВКО"/>
    <s v="Алматы"/>
    <s v="КГУ &quot;Школа-гимназия № 78&quot; Управления образования города Алматы"/>
    <n v="961140001092"/>
    <d v="2026-04-30T00:00:00"/>
    <n v="321252"/>
    <n v="20"/>
    <n v="71317.944000000003"/>
    <n v="249934.05599999998"/>
    <x v="5"/>
  </r>
  <r>
    <s v="АБ ВКО"/>
    <s v="Алматы"/>
    <s v="КГУ &quot;Гимназия №138 имени М.Базарбаева&quot; Управления образования города Алматы"/>
    <n v="990440003002"/>
    <d v="2026-04-30T00:00:00"/>
    <n v="1434177"/>
    <n v="10"/>
    <n v="159193.64700000003"/>
    <n v="1274983.3529999999"/>
    <x v="8"/>
  </r>
  <r>
    <s v="АБ ВКО"/>
    <s v="Алматы"/>
    <s v="КГУ Общеобразовательная школа №149 Управления образования г. Алматы"/>
    <n v="990440002926"/>
    <d v="2026-04-30T00:00:00"/>
    <n v="2094003"/>
    <n v="15"/>
    <n v="348651.49950000003"/>
    <n v="1745351.5005000001"/>
    <x v="7"/>
  </r>
  <r>
    <s v="АБ ВКО"/>
    <s v="ВКО"/>
    <s v="Коммунальное государственное учреждение &quot;Средняя школа №15&quot; отдела образования по городу Усть-Каменогорску управления образования Восточно-К"/>
    <n v="961240002262"/>
    <d v="2026-04-10T00:00:00"/>
    <n v="28966"/>
    <n v="10"/>
    <n v="3215.2260000000001"/>
    <n v="25750.774000000001"/>
    <x v="9"/>
  </r>
  <r>
    <s v="АБ ВКО"/>
    <s v="ВКО"/>
    <s v="КГУ Управление делами акима Восточно-Казахстанской области аппарата акима ВКО"/>
    <n v="130840013670"/>
    <d v="2026-04-10T00:00:00"/>
    <n v="599400"/>
    <n v="10"/>
    <n v="66533.400000000009"/>
    <n v="532866.6"/>
    <x v="9"/>
  </r>
  <r>
    <s v="АБ ВКО"/>
    <s v="ВКО"/>
    <s v="Коммунальное государственное учреждение &quot;Средняя школа №15&quot; отдела образования по городу Усть-Каменогорску управления образования Восточно-К"/>
    <n v="961240002262"/>
    <d v="2026-04-27T00:00:00"/>
    <n v="14032"/>
    <n v="10"/>
    <n v="1557.5520000000001"/>
    <n v="12474.448"/>
    <x v="9"/>
  </r>
  <r>
    <s v="АБ ВКО"/>
    <s v="ВКО"/>
    <s v="Коммунальное государственное учреждение &quot;Средняя школа №15&quot; отдела образования по городу Усть-Каменогорску управления образования Восточно-К"/>
    <n v="961240002262"/>
    <d v="2026-04-27T00:00:00"/>
    <n v="23380"/>
    <n v="10"/>
    <n v="2595.1800000000003"/>
    <n v="20784.82"/>
    <x v="9"/>
  </r>
  <r>
    <s v="АБ ВКО"/>
    <s v="ВКО"/>
    <s v="КГУ “Восточно-Казахстанская областная специализированная детско-юношеская школа Олимпийского резерва по единоборствам имени Кажымукана” упра"/>
    <n v="30240002622"/>
    <d v="2026-04-29T00:00:00"/>
    <n v="38280"/>
    <n v="10"/>
    <n v="4249.08"/>
    <n v="34030.92"/>
    <x v="9"/>
  </r>
  <r>
    <s v="АБ ВКО"/>
    <s v="ВКО"/>
    <s v="КГУ “Восточно-Казахстанская областная специализированная детско-юношеская школа Олимпийского резерва по единоборствам имени Кажымукана” упра"/>
    <n v="30240002622"/>
    <d v="2026-04-29T00:00:00"/>
    <n v="281249"/>
    <n v="10"/>
    <n v="31218.639000000003"/>
    <n v="250030.361"/>
    <x v="9"/>
  </r>
  <r>
    <s v="АБ ВКО"/>
    <s v="ВКО"/>
    <s v="Коммунальное государственное учреждение &quot;Специальная школа-детский сад №14&quot; отдела образования по городу Усть-Каменогорску управления образо"/>
    <n v="40540004641"/>
    <d v="2026-04-29T00:00:00"/>
    <n v="1313300"/>
    <n v="20"/>
    <n v="291552.60000000003"/>
    <n v="1021747.3999999999"/>
    <x v="9"/>
  </r>
  <r>
    <m/>
    <m/>
    <m/>
    <m/>
    <m/>
    <m/>
    <m/>
    <m/>
    <m/>
    <x v="1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8">
  <r>
    <s v="ПК 241"/>
    <s v="Караганда"/>
    <s v="НАО &quot;Карагандинский медицинский университет&quot;"/>
    <n v="240940035132"/>
    <d v="2026-04-01T00:00:00"/>
    <n v="8294"/>
    <n v="0"/>
    <n v="0"/>
    <n v="8294"/>
    <x v="0"/>
  </r>
  <r>
    <s v="ПК 241"/>
    <s v="Караганда"/>
    <s v="КГП Многопроф больн № 2 г Караган управ здравоохран Кар обл"/>
    <n v="990140000592"/>
    <d v="2026-04-02T00:00:00"/>
    <n v="28536"/>
    <n v="20"/>
    <n v="6334.9920000000002"/>
    <n v="22201.008000000002"/>
    <x v="1"/>
  </r>
  <r>
    <s v="ПК 241"/>
    <s v="Караганда"/>
    <s v="КГП Многопроф больн № 2 г Караган управ здравоохран Кар обл"/>
    <n v="990140000592"/>
    <d v="2026-04-02T00:00:00"/>
    <n v="39440"/>
    <n v="20"/>
    <n v="8755.68"/>
    <n v="30684.32"/>
    <x v="1"/>
  </r>
  <r>
    <s v="ПК 241"/>
    <s v="Караганда"/>
    <s v="КГП Многопроф больн № 2 г Караган управ здравоохран Кар обл"/>
    <n v="990140000592"/>
    <d v="2026-04-02T00:00:00"/>
    <n v="44312"/>
    <n v="20"/>
    <n v="9837.264000000001"/>
    <n v="34474.735999999997"/>
    <x v="1"/>
  </r>
  <r>
    <s v="ПК 241"/>
    <s v="Караганда"/>
    <s v="ТОО Окжетпес-Т"/>
    <n v="151240019822"/>
    <d v="2026-04-03T00:00:00"/>
    <n v="13910"/>
    <n v="10"/>
    <n v="1544.0100000000002"/>
    <n v="12365.99"/>
    <x v="0"/>
  </r>
  <r>
    <s v="ПК 241"/>
    <s v="Караганда"/>
    <s v="КГУ &quot;Основная средняя школа №79&quot; отдела образования города Караганды управления образования Карагандинской области"/>
    <n v="950940000237"/>
    <d v="2026-04-03T00:00:00"/>
    <n v="24935.01"/>
    <n v="10"/>
    <n v="2767.78611"/>
    <n v="22167.223889999997"/>
    <x v="2"/>
  </r>
  <r>
    <s v="ПК 241"/>
    <s v="Караганда"/>
    <s v="КГУ &quot;Школа-интернат №4&quot; отдела образования города Караганды управления образования Карагандинской области"/>
    <n v="950440001168"/>
    <d v="2026-04-03T00:00:00"/>
    <n v="39463.199999999997"/>
    <n v="0"/>
    <n v="0"/>
    <n v="39463.199999999997"/>
    <x v="2"/>
  </r>
  <r>
    <s v="ПК 241"/>
    <s v="Караганда"/>
    <s v="ТОО Окжетпес-Т"/>
    <n v="151240019822"/>
    <d v="2026-04-03T00:00:00"/>
    <n v="71440"/>
    <n v="10"/>
    <n v="7929.8400000000011"/>
    <n v="63510.159999999996"/>
    <x v="0"/>
  </r>
  <r>
    <s v="ПК 241"/>
    <s v="Караганда"/>
    <s v="ТОО Окжетпес-Т"/>
    <n v="151240019822"/>
    <d v="2026-04-03T00:00:00"/>
    <n v="101088"/>
    <n v="10"/>
    <n v="11220.768"/>
    <n v="89867.232000000004"/>
    <x v="0"/>
  </r>
  <r>
    <s v="ПК 241"/>
    <s v="Караганда"/>
    <s v="ТОО Окжетпес-Т"/>
    <n v="151240019822"/>
    <d v="2026-04-03T00:00:00"/>
    <n v="335580"/>
    <n v="10"/>
    <n v="37249.380000000005"/>
    <n v="298330.62"/>
    <x v="0"/>
  </r>
  <r>
    <s v="А17"/>
    <s v="Караганда"/>
    <s v="КГУ &quot;Школа-интернат №4&quot; отдела образования города Караганды управления образования Карагандинской области"/>
    <n v="950440001168"/>
    <d v="2026-04-03T00:00:00"/>
    <n v="99973.440000000002"/>
    <n v="10"/>
    <n v="11097.051840000002"/>
    <n v="88876.388160000002"/>
    <x v="2"/>
  </r>
  <r>
    <s v="А17"/>
    <s v="Караганда"/>
    <s v="ТОО Окжетпес-Т"/>
    <n v="151240019822"/>
    <d v="2026-04-03T00:00:00"/>
    <n v="384068.88"/>
    <n v="10"/>
    <n v="42631.645680000001"/>
    <n v="341437.23431999999"/>
    <x v="0"/>
  </r>
  <r>
    <s v="ПК 241"/>
    <s v="Караганда"/>
    <s v="КГУ &quot;Школа-лицей №53&quot; отдела образования города Караганды управления образования Карагандинской области"/>
    <n v="950640001353"/>
    <d v="2026-04-07T00:00:00"/>
    <n v="49648"/>
    <n v="0"/>
    <n v="0"/>
    <n v="49648"/>
    <x v="1"/>
  </r>
  <r>
    <s v="А17"/>
    <s v="Караганда"/>
    <s v="КГУ &quot;Школа-лицей №53&quot; отдела образования города Караганды управления образования Карагандинской области"/>
    <n v="950640001353"/>
    <d v="2026-04-07T00:00:00"/>
    <n v="39463.199999999997"/>
    <n v="0"/>
    <n v="0"/>
    <n v="39463.199999999997"/>
    <x v="1"/>
  </r>
  <r>
    <s v="ПК 241"/>
    <s v="Караганда"/>
    <s v="КГКП Ясли-сад &quot;ҚАРЛЫҒАШ&quot; ОО"/>
    <n v="100240015174"/>
    <d v="2026-04-08T00:00:00"/>
    <n v="25000.32"/>
    <n v="10"/>
    <n v="2775.0355200000004"/>
    <n v="22225.284479999998"/>
    <x v="0"/>
  </r>
  <r>
    <s v="ПК 241"/>
    <s v="Караганда"/>
    <s v="КГУ &quot;Школа-лицей №53&quot; отдела образования города Караганды управления образования Карагандинской области"/>
    <n v="950640001353"/>
    <d v="2026-04-08T00:00:00"/>
    <n v="199589.6"/>
    <n v="0"/>
    <n v="0"/>
    <n v="199589.6"/>
    <x v="1"/>
  </r>
  <r>
    <s v="ПК 241"/>
    <s v="Караганда"/>
    <s v="НАО КарНИУ имени академика Е А Букетова"/>
    <n v="990540002444"/>
    <d v="2026-04-08T00:00:00"/>
    <n v="375456.1"/>
    <n v="10"/>
    <n v="41675.627100000005"/>
    <n v="333780.47289999999"/>
    <x v="2"/>
  </r>
  <r>
    <s v="ПК 241"/>
    <s v="Караганда"/>
    <s v="КГП на ПХВ &quot;Реабилитационный центр &quot;Умит&quot; управления здравоохранения Карагандинской области"/>
    <n v="40640004912"/>
    <d v="2026-04-08T00:00:00"/>
    <n v="1034252.86"/>
    <n v="10"/>
    <n v="114802.06746000001"/>
    <n v="919450.79253999994"/>
    <x v="0"/>
  </r>
  <r>
    <s v="А17"/>
    <s v="Караганда"/>
    <s v="НАО КарНИУ имени академика Е А Букетова"/>
    <n v="990540002444"/>
    <d v="2026-04-08T00:00:00"/>
    <n v="165983.67999999999"/>
    <n v="10"/>
    <n v="18424.188480000001"/>
    <n v="147559.49151999998"/>
    <x v="2"/>
  </r>
  <r>
    <s v="А17"/>
    <s v="Караганда"/>
    <s v="КГП на ПХВ &quot;Реабилитационный центр &quot;Умит&quot; управления здравоохранения Карагандинской области"/>
    <n v="40640004912"/>
    <d v="2026-04-08T00:00:00"/>
    <n v="252719.69"/>
    <n v="10"/>
    <n v="28051.885589999998"/>
    <n v="224667.80441000001"/>
    <x v="0"/>
  </r>
  <r>
    <s v="А17"/>
    <s v="Караганда"/>
    <s v="КГУ &quot;Отделение социальной помощи на дому района Әлихан Бөкейхан города Караганды&quot; Отдела занятости и социальных программ города Караганды"/>
    <n v="900140000080"/>
    <d v="2026-04-08T00:00:00"/>
    <n v="3491866.52"/>
    <n v="50"/>
    <n v="1937985.9186000002"/>
    <n v="1553880.6013999998"/>
    <x v="1"/>
  </r>
  <r>
    <s v="ПК 241"/>
    <s v="Караганда"/>
    <s v="НАО КарНИУ имени академика Е А Букетова"/>
    <n v="990540002444"/>
    <d v="2026-04-09T00:00:00"/>
    <n v="2674352.9900000002"/>
    <n v="10"/>
    <n v="296853.18189000001"/>
    <n v="2377499.8081100001"/>
    <x v="2"/>
  </r>
  <r>
    <s v="ПК 241"/>
    <s v="Караганда"/>
    <s v="КГКП Шах.технол.колледж"/>
    <n v="990140000136"/>
    <d v="2026-04-10T00:00:00"/>
    <n v="1157148.97"/>
    <n v="10"/>
    <n v="128443.53567000001"/>
    <n v="1028705.43433"/>
    <x v="0"/>
  </r>
  <r>
    <s v="А17"/>
    <s v="Караганда"/>
    <s v="КГКП Шах.технол.колледж"/>
    <n v="90140000136"/>
    <d v="2026-04-10T00:00:00"/>
    <n v="188900.32"/>
    <n v="10"/>
    <n v="20967.935520000006"/>
    <n v="167932.38448000001"/>
    <x v="0"/>
  </r>
  <r>
    <s v="А17"/>
    <s v="Караганда"/>
    <s v="Коммунальное государственное казенное предприятие &quot;Саранский технический колледж&quot; управления образования Карагандинской области"/>
    <n v="920240000721"/>
    <d v="2026-04-16T00:00:00"/>
    <n v="80040"/>
    <n v="10"/>
    <n v="8884.44"/>
    <n v="71155.56"/>
    <x v="0"/>
  </r>
  <r>
    <s v="А17"/>
    <s v="Караганда"/>
    <s v="Коммунальное государственное предприятие &quot;Поликлиника №1 города Караганды&quot; управления здравоохранения Карагандинской области"/>
    <n v="990140001888"/>
    <d v="2026-04-16T00:00:00"/>
    <n v="86750"/>
    <n v="10"/>
    <n v="9629.25"/>
    <n v="77120.75"/>
    <x v="0"/>
  </r>
  <r>
    <s v="ПК 241"/>
    <s v="Караганда"/>
    <s v="Коммунальное государственное предприятие &quot;Поликлиника №1 города Караганды&quot; управления здравоохранения Карагандинской области"/>
    <n v="990140001888"/>
    <d v="2026-04-16T00:00:00"/>
    <n v="106230"/>
    <n v="0"/>
    <n v="0"/>
    <n v="106230"/>
    <x v="0"/>
  </r>
  <r>
    <s v="ПК 241"/>
    <s v="Караганда"/>
    <s v="КГУ &quot;Отделение социальной помощи на дому района Әлихан Бөкейхан города Караганды&quot; Отдела занятости и социальных программ города Караганды"/>
    <n v="900140000080"/>
    <d v="2026-04-17T00:00:00"/>
    <n v="809422.25"/>
    <n v="50"/>
    <n v="449229.34875000006"/>
    <n v="360192.90124999994"/>
    <x v="1"/>
  </r>
  <r>
    <s v="ПК 241"/>
    <s v="Караганда"/>
    <s v="РГУ Департамент по делам обороны Карагандинской области Министерства обороны РК"/>
    <n v="970840002035"/>
    <d v="2026-04-17T00:00:00"/>
    <n v="1005901.31"/>
    <n v="10"/>
    <n v="111655.04541000002"/>
    <n v="894246.26459000004"/>
    <x v="2"/>
  </r>
  <r>
    <s v="ПК 241"/>
    <s v="Караганда"/>
    <s v="КГУ &quot;Отделение социальной помощи на дому района Әлихан Бөкейхан города Караганды&quot; Отдела занятости и социальных программ города Караганды"/>
    <n v="900140000080"/>
    <d v="2026-04-17T00:00:00"/>
    <n v="3889713.21"/>
    <n v="50"/>
    <n v="2158790.8315500002"/>
    <n v="1730922.3784499997"/>
    <x v="1"/>
  </r>
  <r>
    <s v="А17"/>
    <s v="Караганда"/>
    <s v="РГУ Департамент по делам обороны Карагандинской области Министерства обороны РК"/>
    <n v="970840002035"/>
    <d v="2026-04-17T00:00:00"/>
    <n v="186650"/>
    <n v="10"/>
    <n v="20718.150000000001"/>
    <n v="165931.85"/>
    <x v="2"/>
  </r>
  <r>
    <s v="ПК 241"/>
    <s v="Караганда"/>
    <s v="Коммунальное государственное учреждение &quot;Центр оказания специальных социальных услуг №4 города Караганды Карагандинской области&quot; Управления"/>
    <n v="10140002417"/>
    <d v="2026-04-21T00:00:00"/>
    <n v="342507"/>
    <n v="10"/>
    <n v="38018.277000000002"/>
    <n v="304488.723"/>
    <x v="2"/>
  </r>
  <r>
    <s v="А17"/>
    <s v="Караганда"/>
    <s v="Коммунальное государственное учреждение “Центр оказания специальных социальных услуг №2 Абайского района Карагандинской области” Управления"/>
    <n v="180440015512"/>
    <d v="2026-04-21T00:00:00"/>
    <n v="4208905.21"/>
    <n v="10"/>
    <n v="467188.47831000003"/>
    <n v="3741716.7316899998"/>
    <x v="2"/>
  </r>
  <r>
    <s v="ПК 241"/>
    <s v="Караганда"/>
    <s v="КГУ &quot;Станция юных туристов&quot; отдела образования города Караганды управления образования Карагандинской области"/>
    <n v="241140017386"/>
    <d v="2026-04-22T00:00:00"/>
    <n v="35550.06"/>
    <n v="10"/>
    <n v="3946.0566600000002"/>
    <n v="31604.003339999996"/>
    <x v="1"/>
  </r>
  <r>
    <s v="ПК 241"/>
    <s v="Караганда"/>
    <s v="КГУ &quot;Гимназия №97&quot; отдела образования города Караганды управления образования Карагандинской области"/>
    <n v="950640001482"/>
    <d v="2026-04-22T00:00:00"/>
    <n v="42900.05"/>
    <n v="10"/>
    <n v="4761.9055500000004"/>
    <n v="38138.14445"/>
    <x v="1"/>
  </r>
  <r>
    <s v="ПК 241"/>
    <s v="Караганда"/>
    <s v="КГУ &quot;Общеобразовательная школа №61&quot; отдела образования города Караганды управления образования Карагандинской области"/>
    <n v="950640001422"/>
    <d v="2026-04-22T00:00:00"/>
    <n v="90480"/>
    <m/>
    <n v="0"/>
    <n v="90480"/>
    <x v="1"/>
  </r>
  <r>
    <s v="ПК 241"/>
    <s v="Караганда"/>
    <s v="КГУ &quot;Общеобразовательная школа №59&quot; отдела образования города Караганды управления образования Карагандинской области"/>
    <n v="950640001294"/>
    <d v="2026-04-22T00:00:00"/>
    <n v="105328"/>
    <n v="0"/>
    <n v="0"/>
    <n v="105328"/>
    <x v="0"/>
  </r>
  <r>
    <s v="ПК 241"/>
    <s v="Караганда"/>
    <s v="КГУ &quot;Гимназия имени Сакена Сейфуллина&quot; отдела образования города Караганды управления образования Карагандинской области"/>
    <n v="950640001363"/>
    <d v="2026-04-22T00:00:00"/>
    <n v="133400"/>
    <n v="0"/>
    <n v="0"/>
    <n v="133400"/>
    <x v="0"/>
  </r>
  <r>
    <s v="ПК 241"/>
    <s v="Караганда"/>
    <s v="КГУ &quot;Общеобразовательная школа имени академика Е.А.Букетова&quot; отдела образования города Караганды управления образования Карагандинской облас"/>
    <n v="950640001036"/>
    <d v="2026-04-22T00:00:00"/>
    <n v="137750"/>
    <n v="10"/>
    <n v="15290.250000000002"/>
    <n v="122459.75"/>
    <x v="1"/>
  </r>
  <r>
    <s v="ПК 241"/>
    <s v="Караганда"/>
    <s v="Коммунальное государственное учреждение &quot;Центр оказания специальных социальных услуг №4 города Караганды Карагандинской области&quot; Управления"/>
    <n v="10140002417"/>
    <d v="2026-04-22T00:00:00"/>
    <n v="141640"/>
    <n v="10"/>
    <n v="15722.04"/>
    <n v="125917.95999999999"/>
    <x v="2"/>
  </r>
  <r>
    <s v="ПК 241"/>
    <s v="Караганда"/>
    <s v="КГУ &quot;Общеобразовательная школа №10&quot; отдела образования города Караганды управления образования Карагандинской области"/>
    <n v="950640001561"/>
    <d v="2026-04-22T00:00:00"/>
    <n v="143805.03"/>
    <n v="0"/>
    <n v="0"/>
    <n v="143805.03"/>
    <x v="0"/>
  </r>
  <r>
    <s v="ПК 241"/>
    <s v="Караганда"/>
    <s v="КГУ &quot;Общеобразовательная школа №17&quot; отдела образования города Караганды управления образования Карагандинской области"/>
    <n v="950640001056"/>
    <d v="2026-04-22T00:00:00"/>
    <n v="192993.16"/>
    <n v="10"/>
    <n v="21422.240760000004"/>
    <n v="171570.91923999999"/>
    <x v="0"/>
  </r>
  <r>
    <s v="ПК 241"/>
    <s v="Караганда"/>
    <s v="Коммунальное государственное казенное предприятие &quot;Саранский технический колледж&quot; управления образования Карагандинской области"/>
    <n v="920240000721"/>
    <d v="2026-04-22T00:00:00"/>
    <n v="219911.92"/>
    <n v="10"/>
    <n v="24410.223120000006"/>
    <n v="195501.69688"/>
    <x v="0"/>
  </r>
  <r>
    <s v="ПК 241"/>
    <s v="Караганда"/>
    <s v="КГУ &quot;Школа-интернат №22&quot; отдела образования города Караганды управления образования Карагандинской области"/>
    <n v="970440002299"/>
    <d v="2026-04-22T00:00:00"/>
    <n v="295030.23"/>
    <n v="0"/>
    <n v="0"/>
    <n v="295030.23"/>
    <x v="0"/>
  </r>
  <r>
    <s v="ПК 241"/>
    <s v="Караганда"/>
    <s v="КГУ &quot;Общеобразовательная школа имени Ю.Н.Павлова&quot; отдела образования города Караганды управления образования Карагандинской области"/>
    <n v="950640001254"/>
    <d v="2026-04-22T00:00:00"/>
    <n v="297926.36"/>
    <n v="10"/>
    <n v="33069.825959999995"/>
    <n v="264856.53404"/>
    <x v="1"/>
  </r>
  <r>
    <s v="А17"/>
    <s v="Караганда"/>
    <s v="КГУ &quot;Общеобразовательная школа №17&quot; отдела образования города Караганды управления образования Карагандинской области"/>
    <n v="950640001056"/>
    <d v="2026-04-22T00:00:00"/>
    <n v="24378.03"/>
    <n v="10"/>
    <n v="2705.9613300000001"/>
    <n v="21672.068670000001"/>
    <x v="1"/>
  </r>
  <r>
    <s v="А17"/>
    <s v="Караганда"/>
    <s v="КГУ &quot;Общеобразовательная школа №48&quot; отдела образования города Караганды управления образования Карагандинской области"/>
    <n v="950640001333"/>
    <d v="2026-04-22T00:00:00"/>
    <n v="53100.160000000003"/>
    <n v="10"/>
    <n v="5894.117760000001"/>
    <n v="47206.042240000002"/>
    <x v="1"/>
  </r>
  <r>
    <s v="А17"/>
    <s v="Караганда"/>
    <s v="КГУ &quot;Общеобразовательная школа №10&quot; отдела образования города Караганды управления образования Карагандинской области"/>
    <n v="950640001561"/>
    <d v="2026-04-22T00:00:00"/>
    <n v="132970.1"/>
    <n v="0"/>
    <n v="0"/>
    <n v="132970.1"/>
    <x v="0"/>
  </r>
  <r>
    <s v="А17"/>
    <s v="Караганда"/>
    <s v="КГУ &quot;Общеобразовательная школа имени Ю.Н.Павлова&quot; отдела образования города Караганды управления образования Карагандинской области"/>
    <n v="950640001254"/>
    <d v="2026-04-22T00:00:00"/>
    <n v="171980.08"/>
    <n v="10"/>
    <n v="19089.78888"/>
    <n v="152890.29111999998"/>
    <x v="1"/>
  </r>
  <r>
    <s v="А17"/>
    <s v="Караганда"/>
    <s v="Коммунальное государственное учреждение &quot;Центр оказания специальных социальных услуг №4 города Караганды Карагандинской области&quot; Управления"/>
    <n v="10140002417"/>
    <d v="2026-04-22T00:00:00"/>
    <n v="409932"/>
    <n v="10"/>
    <n v="45502.451999999997"/>
    <n v="364429.54800000001"/>
    <x v="2"/>
  </r>
  <r>
    <s v="А17"/>
    <s v="Караганда"/>
    <s v="НАО КарНИУ имени академика Е А Букетова"/>
    <n v="990540002444"/>
    <d v="2026-04-22T00:00:00"/>
    <n v="2014082.96"/>
    <n v="10"/>
    <n v="223563.20856000003"/>
    <n v="1790519.75144"/>
    <x v="2"/>
  </r>
  <r>
    <s v="ПК 241"/>
    <s v="Караганда"/>
    <s v="КГУ &quot;Карагандинская областная психолого- медико- педагогическая консультация №6&quot; управления образования Карагандинской области"/>
    <n v="220340033636"/>
    <d v="2026-04-23T00:00:00"/>
    <n v="22272"/>
    <n v="0"/>
    <n v="0"/>
    <n v="22272"/>
    <x v="2"/>
  </r>
  <r>
    <s v="ПК 241"/>
    <s v="Караганда"/>
    <s v="КГУ &quot;Общеобразовательная школа №28&quot; отдела образования города Темиртау управления образования Карагандинской области"/>
    <n v="20540006694"/>
    <d v="2026-04-23T00:00:00"/>
    <n v="35728"/>
    <n v="0"/>
    <n v="0"/>
    <n v="35728"/>
    <x v="0"/>
  </r>
  <r>
    <s v="ПК 241"/>
    <s v="Караганда"/>
    <s v="КГУ &quot;Школа-лицей №20&quot; отдела образования города Темиртау управления образования Карагандинской области"/>
    <n v="1240006375"/>
    <d v="2026-04-23T00:00:00"/>
    <n v="40000"/>
    <n v="0"/>
    <n v="0"/>
    <n v="40000"/>
    <x v="0"/>
  </r>
  <r>
    <s v="ПК 241"/>
    <s v="Караганда"/>
    <s v="КГУ &quot;Основная средняя школа №79&quot; отдела образования города Караганды управления образования Карагандинской области"/>
    <n v="950940000237"/>
    <d v="2026-04-23T00:00:00"/>
    <n v="44892"/>
    <n v="10"/>
    <n v="4983.0120000000006"/>
    <n v="39908.987999999998"/>
    <x v="2"/>
  </r>
  <r>
    <s v="ПК 241"/>
    <s v="Караганда"/>
    <s v="КГУ &quot;Общеобразовательная школа №59&quot; отдела образования города Караганды управления образования Карагандинской области"/>
    <n v="950640001294"/>
    <d v="2026-04-23T00:00:00"/>
    <n v="49880"/>
    <m/>
    <n v="0"/>
    <n v="49880"/>
    <x v="0"/>
  </r>
  <r>
    <s v="ПК 241"/>
    <s v="Караганда"/>
    <s v="КГУ &quot;Школа-центр дополнительного образования имени Каныша Сатпаева&quot; отдела образования Абайского района управления образования Карагандинско"/>
    <n v="970540001501"/>
    <d v="2026-04-23T00:00:00"/>
    <n v="104380"/>
    <n v="10"/>
    <n v="11586.18"/>
    <n v="92793.82"/>
    <x v="2"/>
  </r>
  <r>
    <s v="ПК 241"/>
    <s v="Караганда"/>
    <s v="КГУ &quot;Общеобразовательная школа №17&quot; отдела образования города Темиртау управления образования Карагандинской области"/>
    <n v="60740009772"/>
    <d v="2026-04-23T00:00:00"/>
    <n v="185600"/>
    <n v="10"/>
    <n v="20601.600000000002"/>
    <n v="164998.39999999999"/>
    <x v="3"/>
  </r>
  <r>
    <s v="ПК 241"/>
    <s v="Караганда"/>
    <s v="КГУ &quot;Общеобразовательная школа № 26&quot; отдела образования города Караганды управления образования Карагандинской области"/>
    <n v="240840021199"/>
    <d v="2026-04-23T00:00:00"/>
    <n v="388228.7"/>
    <n v="10"/>
    <n v="43093.385700000006"/>
    <n v="345135.31430000003"/>
    <x v="0"/>
  </r>
  <r>
    <s v="А17"/>
    <s v="Караганда"/>
    <s v="Коммунальное государственное учреждение “Центр оказания специальных социальных услуг города Сарани Карагандинской области” Управления коорд"/>
    <n v="101040015378"/>
    <d v="2026-04-23T00:00:00"/>
    <n v="1368172.23"/>
    <n v="10"/>
    <n v="151867.11753000002"/>
    <n v="1216305.1124700001"/>
    <x v="1"/>
  </r>
  <r>
    <s v="ПК 241"/>
    <s v="Караганда"/>
    <s v="КГКП КАРАГАНД КОЛЛЕДЖ ИСКУССТВ"/>
    <n v="990140002777"/>
    <d v="2026-04-24T00:00:00"/>
    <n v="83500.05"/>
    <n v="0"/>
    <n v="0"/>
    <n v="83500.05"/>
    <x v="2"/>
  </r>
  <r>
    <s v="ПК 241"/>
    <s v="Караганда"/>
    <s v="Коммунальное государственное учреждение &quot;Специализированная школа-лицей-интернат имени Н.Нурмакова&quot; управления образования Карагандинской об"/>
    <n v="950640000652"/>
    <d v="2026-04-24T00:00:00"/>
    <n v="177050.22"/>
    <n v="10"/>
    <n v="19652.574420000004"/>
    <n v="157397.64558000001"/>
    <x v="1"/>
  </r>
  <r>
    <s v="ПК 241"/>
    <s v="Караганда"/>
    <s v="КГУ &quot;Первый Темиртауский классический лицей&quot; отдела образования города Темиртау управления образования Карагандинской области"/>
    <n v="930940000401"/>
    <d v="2026-04-28T00:00:00"/>
    <n v="102080"/>
    <n v="0"/>
    <n v="0"/>
    <n v="102080"/>
    <x v="0"/>
  </r>
  <r>
    <s v="ПК 241"/>
    <s v="Караганда"/>
    <s v="КГУ &quot;Специализированная школа– лицей-интернат имени Жамбыла&quot; управления образования Карагандинской области"/>
    <n v="950740000120"/>
    <d v="2026-04-29T00:00:00"/>
    <n v="55000.01"/>
    <n v="10"/>
    <n v="6105.0011100000011"/>
    <n v="48895.008889999997"/>
    <x v="1"/>
  </r>
  <r>
    <s v="ПК 241"/>
    <s v="Караганда"/>
    <s v="КГУ &quot;Специализированная школа– лицей-интернат имени Жамбыла&quot; управления образования Карагандинской области"/>
    <n v="950740000120"/>
    <d v="2026-04-29T00:00:00"/>
    <n v="141640.18"/>
    <n v="10"/>
    <n v="15722.05998"/>
    <n v="125918.12001999999"/>
    <x v="1"/>
  </r>
  <r>
    <s v="ПК 241"/>
    <s v="Караганда"/>
    <s v="КГУ &quot;Специализированная школа– лицей-интернат имени Жамбыла&quot; управления образования Карагандинской области"/>
    <n v="950740000120"/>
    <d v="2026-04-29T00:00:00"/>
    <n v="288108.40000000002"/>
    <n v="10"/>
    <n v="31980.032400000004"/>
    <n v="256128.36760000003"/>
    <x v="1"/>
  </r>
  <r>
    <s v="А17"/>
    <s v="Караганда"/>
    <s v="КГУ &quot;Специализированная школа– лицей-интернат имени Жамбыла&quot; управления образования Карагандинской области"/>
    <n v="950740000120"/>
    <d v="2026-04-29T00:00:00"/>
    <n v="194725.43"/>
    <n v="10"/>
    <n v="21614.522730000001"/>
    <n v="173110.90727"/>
    <x v="1"/>
  </r>
  <r>
    <s v="ПК 241"/>
    <s v="Караганда "/>
    <s v="КГУ &quot;КАБИНЕТ ПСИХОЛОГО-ПЕДАГОГИЧЕСКОЙ КОРРЕКЦИИ № 5&quot; АКИМАТА ГОРОДА АСТАНЫ"/>
    <n v="240940014605"/>
    <s v="30 04 26"/>
    <n v="276599.67999999999"/>
    <n v="30"/>
    <n v="92107.693440000003"/>
    <n v="184491.98655999999"/>
    <x v="1"/>
  </r>
  <r>
    <s v="ПК 241"/>
    <s v="Караганда "/>
    <s v="КГУ &quot;КАБИНЕТ ПСИХОЛОГО-ПЕДАГОГИЧЕСКОЙ КОРРЕКЦИИ № 5&quot; АКИМАТА ГОРОДА АСТАНЫ"/>
    <n v="240940014605"/>
    <s v="30 04 26"/>
    <n v="1174200.8600000001"/>
    <n v="30"/>
    <n v="391008.88638000004"/>
    <n v="783191.97362000006"/>
    <x v="1"/>
  </r>
  <r>
    <s v="ПК 241"/>
    <s v="Караганда "/>
    <s v="КГУ &quot;КАБИНЕТ ПСИХОЛОГО-ПЕДАГОГИЧЕСКОЙ КОРРЕКЦИИ № 5&quot; АКИМАТА ГОРОДА АСТАНЫ"/>
    <n v="240940014605"/>
    <s v="30 04 26 "/>
    <n v="660100.31999999995"/>
    <n v="30"/>
    <n v="219813.40656"/>
    <n v="440286.91343999992"/>
    <x v="1"/>
  </r>
  <r>
    <s v="ПК 241"/>
    <s v="Астана"/>
    <s v="ГККП &quot;Ясли-сад № 38 &quot;Шаттық&quot; акимата города Астаны"/>
    <n v="71140018734"/>
    <d v="2026-04-01T00:00:00"/>
    <n v="1796587.42"/>
    <n v="20"/>
    <n v="398842.40724000003"/>
    <n v="1397745.0127599998"/>
    <x v="4"/>
  </r>
  <r>
    <s v="А17"/>
    <s v="Астана"/>
    <s v="ГККП &quot;Ясли-сад № 38 &quot;Шаттық&quot; акимата города Астаны"/>
    <n v="71140018734"/>
    <d v="2026-04-01T00:00:00"/>
    <n v="744721.28"/>
    <n v="20"/>
    <n v="165328.12416000004"/>
    <n v="579393.15584000002"/>
    <x v="4"/>
  </r>
  <r>
    <s v="А17"/>
    <s v="Астана"/>
    <s v="Государственное коммунальное казенное предприятие &quot;Центр социального обслуживания &quot;Шарапат&quot; акимата города Астана"/>
    <n v="890340000013"/>
    <d v="2026-04-03T00:00:00"/>
    <n v="351024"/>
    <n v="20"/>
    <n v="77927.328000000009"/>
    <n v="273096.67200000002"/>
    <x v="4"/>
  </r>
  <r>
    <s v="ПК 241"/>
    <s v="Астана"/>
    <s v="Коммунальное государственное учреждение &quot;общеобразовательная школа №109&quot; акимата города Астаны"/>
    <n v="241240018070"/>
    <d v="2026-04-06T00:00:00"/>
    <n v="226499.9"/>
    <n v="20"/>
    <n v="50282.977800000008"/>
    <n v="176216.92219999997"/>
    <x v="5"/>
  </r>
  <r>
    <s v="ПК 241"/>
    <s v="Астана"/>
    <s v="ГКП на ПХВ &quot;Школа-лицей №28&quot; акимата города Астаны"/>
    <n v="690840000010"/>
    <d v="2026-04-06T00:00:00"/>
    <n v="389700.14"/>
    <n v="20"/>
    <n v="86513.431080000009"/>
    <n v="303186.70892"/>
    <x v="4"/>
  </r>
  <r>
    <s v="А17"/>
    <s v="Астана"/>
    <s v="ГКП на ПХВ &quot;Школа-лицей №28&quot; акимата города Астаны"/>
    <n v="690840000010"/>
    <d v="2026-04-06T00:00:00"/>
    <n v="106640.19"/>
    <n v="20"/>
    <n v="23674.122179999998"/>
    <n v="82966.067819999997"/>
    <x v="4"/>
  </r>
  <r>
    <s v="ПК 241"/>
    <s v="Астана"/>
    <s v="ГККП &quot;Ясли-сад № 48 &quot;Ақ көгершін&quot; акимата города Астаны"/>
    <n v="100340004579"/>
    <d v="2026-04-08T00:00:00"/>
    <n v="132420.26999999999"/>
    <n v="20"/>
    <n v="29397.299940000004"/>
    <n v="103022.97005999999"/>
    <x v="5"/>
  </r>
  <r>
    <s v="А17"/>
    <s v="Астана"/>
    <s v="ГККП &quot;Ясли-сад № 48 &quot;Ақ көгершін&quot; акимата города Астаны"/>
    <n v="100340004579"/>
    <d v="2026-04-08T00:00:00"/>
    <n v="212340.09"/>
    <n v="20"/>
    <n v="47139.499980000001"/>
    <n v="165200.59002"/>
    <x v="5"/>
  </r>
  <r>
    <s v="ПК 241"/>
    <s v="Астана"/>
    <s v="АО Алатау Жарық Компаниясы"/>
    <n v="960840000483"/>
    <d v="2026-04-09T00:00:00"/>
    <n v="1021853.51"/>
    <n v="0"/>
    <n v="0"/>
    <n v="1021853.51"/>
    <x v="6"/>
  </r>
  <r>
    <s v="ПК 241"/>
    <s v="Астана"/>
    <s v="ГУ &quot;Отдел образования по Целиноградскому району управления образования Акмолинской области&quot;"/>
    <n v="60140013332"/>
    <d v="2026-04-10T00:00:00"/>
    <n v="199347.01"/>
    <n v="20"/>
    <n v="44255.036220000009"/>
    <n v="155091.97378"/>
    <x v="5"/>
  </r>
  <r>
    <s v="ПК 241"/>
    <s v="Астана"/>
    <s v="ТОО Хозяйственное управление Астаны"/>
    <n v="120340003574"/>
    <d v="2026-04-13T00:00:00"/>
    <n v="5911500"/>
    <n v="0"/>
    <n v="0"/>
    <n v="5911500"/>
    <x v="7"/>
  </r>
  <r>
    <s v="А17"/>
    <s v="Астана"/>
    <s v="ГККП Ясли - сад № 37 &quot;Арман&quot; акимата города Астаны"/>
    <n v="51240005079"/>
    <d v="2026-04-13T00:00:00"/>
    <n v="301974.49"/>
    <n v="20"/>
    <n v="67038.336780000012"/>
    <n v="234936.15321999998"/>
    <x v="4"/>
  </r>
  <r>
    <s v="ПК 241"/>
    <s v="Астана"/>
    <s v="ГКП на ПХВ «Школа-лицей № 35 имени Назира Торекулова» акимата города Астаны"/>
    <n v="910840000117"/>
    <d v="2026-04-15T00:00:00"/>
    <n v="1274650.92"/>
    <n v="20"/>
    <n v="282972.50423999998"/>
    <n v="991678.41576"/>
    <x v="4"/>
  </r>
  <r>
    <s v="А17"/>
    <s v="Астана"/>
    <s v="ГКП на ПХВ «Школа-лицей № 35 имени Назира Торекулова» акимата города Астаны"/>
    <n v="910840000117"/>
    <d v="2026-04-15T00:00:00"/>
    <n v="133300.24"/>
    <n v="20"/>
    <n v="29592.653280000002"/>
    <n v="103707.58671999999"/>
    <x v="4"/>
  </r>
  <r>
    <s v="А17"/>
    <s v="Астана"/>
    <s v="КГУ &quot;Центр оказания специальных социальных услуг поселка Жолымбет, Шортандинского района&quot; управления координации занятости и социальных прог"/>
    <n v="150140001318"/>
    <d v="2026-04-16T00:00:00"/>
    <n v="1142996.95"/>
    <n v="20"/>
    <n v="253745.32290000003"/>
    <n v="889251.62709999993"/>
    <x v="5"/>
  </r>
  <r>
    <s v="ПК 241"/>
    <s v="Астана"/>
    <s v="Коммунальное государственное учреждение &quot;общеобразовательная школа №103&quot; акимата города Астаны"/>
    <n v="240740005679"/>
    <d v="2026-04-21T00:00:00"/>
    <n v="69580.05"/>
    <n v="20"/>
    <n v="15446.771100000002"/>
    <n v="54133.278900000005"/>
    <x v="5"/>
  </r>
  <r>
    <s v="ПК 241"/>
    <s v="Астана"/>
    <s v="ГКП на ПХВ Школа-гимназия №69"/>
    <n v="120940007638"/>
    <d v="2026-04-22T00:00:00"/>
    <n v="425850"/>
    <n v="20"/>
    <n v="94538.700000000012"/>
    <n v="331311.3"/>
    <x v="5"/>
  </r>
  <r>
    <s v="ПК 241"/>
    <s v="Астана"/>
    <s v="Коммунальное государственное учреждение &quot;Центр социального обслуживания &quot;Қамқор&quot; акимата города Астаны"/>
    <n v="50240004642"/>
    <d v="2026-04-22T00:00:00"/>
    <n v="4859578.37"/>
    <n v="0"/>
    <n v="0"/>
    <n v="4859578.37"/>
    <x v="7"/>
  </r>
  <r>
    <s v="А17"/>
    <s v="Астана"/>
    <s v="ГКП на ПХВ Школа-гимназия №69"/>
    <n v="120940007638"/>
    <d v="2026-04-22T00:00:00"/>
    <n v="177000"/>
    <n v="20"/>
    <n v="39294"/>
    <n v="137706"/>
    <x v="5"/>
  </r>
  <r>
    <s v="ПК 241"/>
    <s v="Астана"/>
    <s v="ГКП на ПХВ &quot;Школа-лицей № 85 имени шейха Тамима бен Хамада аль-Тани&quot; акимата города Астана"/>
    <n v="180940023531"/>
    <d v="2026-04-29T00:00:00"/>
    <n v="691701.04"/>
    <n v="20"/>
    <n v="153557.63088000004"/>
    <n v="538143.40911999997"/>
    <x v="4"/>
  </r>
  <r>
    <s v="А17"/>
    <s v="Астана"/>
    <s v="НАО &quot;Евразийский национальный университет имени Л.Н.Гумилева&quot;"/>
    <n v="10140003594"/>
    <d v="2026-04-30T00:00:00"/>
    <n v="16750117.93"/>
    <n v="10"/>
    <n v="1859263.0902300002"/>
    <n v="14890854.83977"/>
    <x v="7"/>
  </r>
  <r>
    <s v="А17"/>
    <s v="Актобе"/>
    <s v="Коммунальное государственное учреждение &quot;Центр ресоциализации лиц, оказавшихся в трудной жизненной ситуации&quot; государственного учреждения &quot;От"/>
    <n v="940002038"/>
    <d v="2026-04-03T00:00:00"/>
    <n v="20881.900000000001"/>
    <n v="10"/>
    <n v="2317.8909000000003"/>
    <n v="18564.009100000003"/>
    <x v="8"/>
  </r>
  <r>
    <s v="ПК 241"/>
    <s v="Актобе"/>
    <s v="Коммунальное государственное учреждение &quot;Общеобразовательная средняя школа № 85&quot; государственного учереждения &quot;Отдел образования города Акто"/>
    <n v="251240038027"/>
    <d v="2026-04-23T00:00:00"/>
    <n v="2010.27"/>
    <n v="10"/>
    <n v="223.13997000000003"/>
    <n v="1787.13003"/>
    <x v="9"/>
  </r>
  <r>
    <s v="ПК 241"/>
    <s v="Актобе"/>
    <s v="Коммунальное государственное учреждение &quot;Общеобразовательная средняя школа № 56&quot; государственного учреждения &quot;Отдел образования города Акто"/>
    <n v="141240015500"/>
    <d v="2026-04-23T00:00:00"/>
    <n v="6190.06"/>
    <n v="10"/>
    <n v="687.09666000000016"/>
    <n v="5502.9633400000002"/>
    <x v="9"/>
  </r>
  <r>
    <s v="ПК 241"/>
    <s v="Актобе"/>
    <s v="Коммунальное государственное учреждение &quot;Областная санаторная школа-интернат&quot; государственного учреждения &quot;Управление образования Актюбинско"/>
    <n v="970940002138"/>
    <d v="2026-04-23T00:00:00"/>
    <n v="61000"/>
    <n v="10"/>
    <n v="6771.0000000000009"/>
    <n v="54229"/>
    <x v="9"/>
  </r>
  <r>
    <s v="ПК 241"/>
    <s v="Актобе"/>
    <s v="Коммунальное государственное учреждение &quot;Средняя школа № 29&quot; государственного учреждения &quot;Отдел образования города Актобе&quot;"/>
    <n v="970640001505"/>
    <d v="2026-04-23T00:00:00"/>
    <n v="210960.11"/>
    <n v="20"/>
    <n v="46833.14441999999"/>
    <n v="164126.96557999999"/>
    <x v="9"/>
  </r>
  <r>
    <s v="А17"/>
    <s v="Актобе"/>
    <s v="Коммунальное государственное учреждение &quot;Средняя школа № 29&quot; государственного учреждения &quot;Отдел образования города Актобе&quot;"/>
    <n v="970640001505"/>
    <d v="2026-04-23T00:00:00"/>
    <n v="50928.27"/>
    <n v="20"/>
    <n v="11306.075939999999"/>
    <n v="39622.194059999994"/>
    <x v="9"/>
  </r>
  <r>
    <s v="ПК 660"/>
    <s v="Актобе"/>
    <s v="Коммунальное государственное учреждение &quot;Средняя школа № 42&quot; государственного учреждения &quot;Отдел образования города Актобе&quot;"/>
    <n v="50240003763"/>
    <d v="2026-04-23T00:00:00"/>
    <n v="70820"/>
    <n v="10"/>
    <n v="7861.02"/>
    <n v="62958.979999999996"/>
    <x v="8"/>
  </r>
  <r>
    <s v="ПК 660"/>
    <s v="Актобе"/>
    <s v="Коммунальное государственное учреждение &quot;Кызылжарская средняя школа&quot; государственного учреждения &quot;Отдел образования города Актобе&quot;"/>
    <n v="970440000064"/>
    <d v="2026-04-23T00:00:00"/>
    <n v="91773"/>
    <n v="10"/>
    <n v="10186.803"/>
    <n v="81586.197"/>
    <x v="8"/>
  </r>
  <r>
    <s v="ПК 241"/>
    <s v="Актобе"/>
    <s v="КГУ &quot;Центр подготовки олимпийского резерва&quot; ГУ &quot;Управление физической культуры, спорта и туризма Актюбинской области&quot;"/>
    <n v="50940005943"/>
    <d v="2026-04-24T00:00:00"/>
    <n v="203940.06"/>
    <n v="10"/>
    <n v="22637.346660000003"/>
    <n v="181302.71333999999"/>
    <x v="8"/>
  </r>
  <r>
    <s v="ПК 241"/>
    <s v="Актобе"/>
    <s v="Коммунальное государственное учреждение &quot;Средняя школа-лицей № 23 имени Алимхана Ермекова&quot; государственного учреждения &quot;Отдел образования го"/>
    <n v="940740000505"/>
    <d v="2026-04-24T00:00:00"/>
    <n v="373000.9"/>
    <n v="10"/>
    <n v="41403.099900000001"/>
    <n v="331597.80009999999"/>
    <x v="9"/>
  </r>
  <r>
    <s v="А17"/>
    <s v="Актобе"/>
    <s v="Коммунальное государственное учреждение &quot;Средняя школа-лицей № 23 имени Алимхана Ермекова&quot; государственного учреждения &quot;Отдел образования го"/>
    <n v="940740000505"/>
    <d v="2026-04-24T00:00:00"/>
    <n v="12950"/>
    <n v="10"/>
    <n v="1437.45"/>
    <n v="11512.55"/>
    <x v="9"/>
  </r>
  <r>
    <s v="ПК 241"/>
    <s v="Актобе"/>
    <s v="Коммунальное государственное учреждение &quot;Средняя школа № 29&quot; государственного учреждения &quot;Отдел образования города Актобе&quot;"/>
    <n v="970640001505"/>
    <d v="2026-04-27T00:00:00"/>
    <n v="31601.1"/>
    <n v="20"/>
    <n v="7015.4442000000008"/>
    <n v="24585.655799999997"/>
    <x v="9"/>
  </r>
  <r>
    <s v="ПК 241"/>
    <s v="Актобе"/>
    <s v="Коммунальное государственное учреждение &quot;Актюбинский областной специальный комплекс &quot;школа-интернат-колледж&quot; государственного учреждения &quot;Уп"/>
    <n v="960240000461"/>
    <d v="2026-04-27T00:00:00"/>
    <n v="197749.07"/>
    <n v="10"/>
    <n v="21950.146770000007"/>
    <n v="175798.92323000001"/>
    <x v="9"/>
  </r>
  <r>
    <s v="А17"/>
    <s v="Актобе"/>
    <s v="Коммунальное государственное учреждение &quot;Средняя общеобразовательная школа № 40&quot; государственного учреждения &quot;Отдел образования города Актоб"/>
    <n v="70240000853"/>
    <d v="2026-04-27T00:00:00"/>
    <n v="206351.47"/>
    <n v="10"/>
    <n v="22905.013170000002"/>
    <n v="183446.45683000001"/>
    <x v="9"/>
  </r>
  <r>
    <s v="А17"/>
    <s v="Актобе"/>
    <s v="Коммунальное государственное учреждение &quot;Илекская средняя школа&quot; государственного учреждения &quot;Отдел образования города Актобе&quot;"/>
    <n v="970440000758"/>
    <d v="2026-04-28T00:00:00"/>
    <n v="41080.01"/>
    <n v="10"/>
    <n v="4559.8811100000003"/>
    <n v="36520.12889"/>
    <x v="8"/>
  </r>
  <r>
    <s v="ПК 241"/>
    <s v="Актобе"/>
    <s v="Коммунальное государственное учреждение &quot;Актюбинский областной специальный комплекс &quot;школа-интернат-колледж&quot; государственного учреждения &quot;Уп"/>
    <n v="960240000461"/>
    <d v="2026-04-29T00:00:00"/>
    <n v="609877.28"/>
    <n v="10"/>
    <n v="67696.378080000024"/>
    <n v="542180.90191999997"/>
    <x v="9"/>
  </r>
  <r>
    <s v="А17"/>
    <s v="Актобе"/>
    <s v="Коммунальное государственное учреждение &quot;Средняя школа № 18&quot; государственного учреждения &quot;Отдел образования города Актобе&quot;"/>
    <n v="70540002153"/>
    <d v="2026-04-29T00:00:00"/>
    <n v="48023.26"/>
    <n v="10"/>
    <n v="5330.5818600000002"/>
    <n v="42692.678140000004"/>
    <x v="8"/>
  </r>
  <r>
    <s v="А17"/>
    <s v="Актобе"/>
    <s v="Коммунальное государственное учреждение &quot;Средняя общеобразовательная школа № 53&quot; государственного учреждения &quot;Отдел образования города Актоб"/>
    <n v="50940002919"/>
    <d v="2026-04-29T00:00:00"/>
    <n v="453598"/>
    <n v="10"/>
    <n v="50349.378000000004"/>
    <n v="403248.62199999997"/>
    <x v="8"/>
  </r>
  <r>
    <s v="А17"/>
    <s v="Актобе"/>
    <s v="Коммунальное государственное учреждение &quot;Актюбинский областной специальный комплекс &quot;школа-интернат-колледж&quot; государственного учреждения &quot;Уп"/>
    <n v="960240000461"/>
    <d v="2026-04-29T00:00:00"/>
    <n v="554925.76"/>
    <n v="10"/>
    <n v="61596.759359999996"/>
    <n v="493329.00063999998"/>
    <x v="9"/>
  </r>
  <r>
    <s v="ПК 241"/>
    <s v="Актобе"/>
    <s v="Коммунальное государственное учреждение &quot;Средняя школа № 22&quot; государственного учреждения &quot;Отдел образования города Актобе&quot;"/>
    <n v="970640000498"/>
    <d v="2026-04-30T00:00:00"/>
    <n v="49440.13"/>
    <n v="10"/>
    <n v="5487.8544300000003"/>
    <n v="43952.275569999998"/>
    <x v="8"/>
  </r>
  <r>
    <s v="ПК 241"/>
    <s v="Актобе"/>
    <s v="Коммунальное государственное учреждение &quot;Актюбинский областной специальный детский сад &quot;Нектар&quot; государственного учреждения &quot;Управление обра"/>
    <n v="180340024558"/>
    <d v="2026-04-30T00:00:00"/>
    <n v="114800.56"/>
    <n v="10"/>
    <n v="12742.862160000002"/>
    <n v="102057.69783999999"/>
    <x v="9"/>
  </r>
  <r>
    <s v="ПК 241"/>
    <s v="Актобе"/>
    <s v="Коммунальное государственное учреждение &quot;Средняя общеобразовательная школа № 40&quot; государственного учреждения &quot;Отдел образования города Актоб"/>
    <n v="970240000853"/>
    <d v="2026-04-30T00:00:00"/>
    <n v="163136.09"/>
    <n v="10"/>
    <n v="18108.10599"/>
    <n v="145027.98400999999"/>
    <x v="9"/>
  </r>
  <r>
    <s v="ПК 241"/>
    <s v="Актобе"/>
    <s v="Коммунальное государственное учреждение &quot;Средняя общеобразовательная школа № 40&quot; государственного учреждения &quot;Отдел образования города Актоб"/>
    <n v="970240000853"/>
    <d v="2026-04-30T00:00:00"/>
    <n v="249629.59"/>
    <n v="10"/>
    <n v="27708.88449"/>
    <n v="221920.70551"/>
    <x v="9"/>
  </r>
  <r>
    <s v="ПК 241"/>
    <s v="Актобе"/>
    <s v="Коммунальное государственное учреждение &quot;Средняя общеобразовательная школа № 40&quot; государственного учреждения &quot;Отдел образования города Актоб"/>
    <n v="970240000853"/>
    <d v="2026-04-30T00:00:00"/>
    <n v="376229.28"/>
    <n v="10"/>
    <n v="41761.450080000002"/>
    <n v="334467.82992000005"/>
    <x v="9"/>
  </r>
  <r>
    <s v="ПК 241"/>
    <s v="Алматы"/>
    <s v="Товарищество с ограниченной ответственностью &quot;Институт гидрогеологии и геоэкологии им. У.М. Ахмедсафина&quot;"/>
    <n v="71240013112"/>
    <d v="2026-04-01T00:00:00"/>
    <n v="305200.8"/>
    <n v="10"/>
    <n v="33877.288800000002"/>
    <n v="271323.51120000001"/>
    <x v="10"/>
  </r>
  <r>
    <s v="А17"/>
    <s v="Алматы"/>
    <s v="КГУ &quot;Общеобразовательная школа №181&quot; Управления образования г.Алматы"/>
    <n v="130240021322"/>
    <d v="2026-04-01T00:00:00"/>
    <n v="506519.57"/>
    <n v="20"/>
    <n v="112447.34454000002"/>
    <n v="394072.22545999999"/>
    <x v="11"/>
  </r>
  <r>
    <s v="ПК 241"/>
    <s v="Алматы"/>
    <s v="КГУ &quot;Школа -гимназия №206&quot; Управления образования города Алматы"/>
    <n v="220840011148"/>
    <d v="2026-04-02T00:00:00"/>
    <n v="616200.12"/>
    <n v="20"/>
    <n v="136796.42664000002"/>
    <n v="479403.69335999998"/>
    <x v="11"/>
  </r>
  <r>
    <s v="ПК 241"/>
    <s v="Алматы"/>
    <s v="Товарищество с ограниченной ответственностью &quot;KMG EP - Cater"/>
    <n v="10540000910"/>
    <d v="2026-04-02T00:00:00"/>
    <n v="962220"/>
    <n v="0"/>
    <n v="0"/>
    <n v="962220"/>
    <x v="6"/>
  </r>
  <r>
    <s v="А17"/>
    <s v="Алматы"/>
    <s v="КГУ &quot;Школа -гимназия №206&quot; Управления образования города Алматы"/>
    <n v="220840011148"/>
    <d v="2026-04-02T00:00:00"/>
    <n v="254880"/>
    <n v="20"/>
    <n v="56583.360000000008"/>
    <n v="198296.63999999998"/>
    <x v="11"/>
  </r>
  <r>
    <s v="ПК 241"/>
    <s v="Алматы"/>
    <s v="КГУ &quot;Школа-гимназия № 101&quot; Управления образования города Алматы"/>
    <n v="961140001002"/>
    <d v="2026-04-03T00:00:00"/>
    <n v="330199.8"/>
    <n v="20"/>
    <n v="73304.35560000001"/>
    <n v="256895.44439999998"/>
    <x v="11"/>
  </r>
  <r>
    <s v="ПК 241"/>
    <s v="Алматы"/>
    <s v="Коммунальное государственное учреждение &quot;Школа-гимназия №209&quot; Управления образования города Алматы"/>
    <n v="221140010454"/>
    <d v="2026-04-03T00:00:00"/>
    <n v="598099.48"/>
    <n v="20"/>
    <n v="132778.08456000002"/>
    <n v="465321.39543999999"/>
    <x v="11"/>
  </r>
  <r>
    <s v="ПК 241"/>
    <s v="Алматы"/>
    <s v="КГУ &quot;Школа-гимназия №176&quot; Управления образования г. Алматы"/>
    <n v="90340002459"/>
    <d v="2026-04-03T00:00:00"/>
    <n v="765390.5"/>
    <n v="20"/>
    <n v="169916.69100000002"/>
    <n v="595473.80900000001"/>
    <x v="11"/>
  </r>
  <r>
    <s v="А17"/>
    <s v="Алматы"/>
    <s v="КГУ &quot;Центр социальных услуг &quot;Парасат&quot; Управления занятости и социальных программ города Алматы"/>
    <n v="930140000988"/>
    <d v="2026-04-03T00:00:00"/>
    <n v="18478.8"/>
    <n v="0"/>
    <n v="0"/>
    <n v="18478.8"/>
    <x v="7"/>
  </r>
  <r>
    <s v="А17"/>
    <s v="Алматы"/>
    <s v="КГУ &quot;Центр социальных услуг &quot;Парасат&quot; Управления занятости и социальных программ города Алматы"/>
    <n v="930140000988"/>
    <d v="2026-04-03T00:00:00"/>
    <n v="368648"/>
    <n v="0"/>
    <n v="0"/>
    <n v="368648"/>
    <x v="7"/>
  </r>
  <r>
    <s v="А17"/>
    <s v="Алматы"/>
    <s v="Коммунальное государственное учреждение &quot;Школа-гимназия №209&quot; Управления образования города Алматы"/>
    <n v="221140010454"/>
    <d v="2026-04-03T00:00:00"/>
    <n v="708200.88"/>
    <n v="20"/>
    <n v="157220.59536000004"/>
    <n v="550980.28463999997"/>
    <x v="11"/>
  </r>
  <r>
    <s v="ПК 241"/>
    <s v="Алматы"/>
    <s v="КГУ &quot;Школа-лицей № 71&quot; Управления образования г. Алматы"/>
    <n v="961240001254"/>
    <d v="2026-04-06T00:00:00"/>
    <n v="23190"/>
    <n v="0"/>
    <n v="0"/>
    <n v="23190"/>
    <x v="12"/>
  </r>
  <r>
    <s v="ПК 241"/>
    <s v="Алматы"/>
    <s v="КГУ &quot;Школа-лицей № 71&quot; Управления образования г. Алматы"/>
    <n v="961240001254"/>
    <d v="2026-04-06T00:00:00"/>
    <n v="57950"/>
    <n v="0"/>
    <n v="0"/>
    <n v="57950"/>
    <x v="12"/>
  </r>
  <r>
    <s v="ПК 241"/>
    <s v="Алматы"/>
    <s v="КГУ &quot;Школа-лицей № 71&quot; Управления образования г. Алматы"/>
    <n v="961240001254"/>
    <d v="2026-04-06T00:00:00"/>
    <n v="104388"/>
    <n v="0"/>
    <n v="0"/>
    <n v="104388"/>
    <x v="12"/>
  </r>
  <r>
    <s v="А17"/>
    <s v="Алматы"/>
    <s v="КГУ &quot;Школа-лицей № 71&quot; Управления образования г. Алматы"/>
    <n v="961240001254"/>
    <d v="2026-04-06T00:00:00"/>
    <n v="57950"/>
    <n v="0"/>
    <n v="0"/>
    <n v="57950"/>
    <x v="12"/>
  </r>
  <r>
    <s v="ПК 241"/>
    <s v="Алматы"/>
    <s v="КГУ &quot;Общеобразовательная школа-интернат № 10 для детей из малообеспеченных семей&quot; Управления образования города Алматы"/>
    <n v="31240003009"/>
    <d v="2026-04-07T00:00:00"/>
    <n v="148100"/>
    <n v="20"/>
    <n v="32878.200000000004"/>
    <n v="115221.79999999999"/>
    <x v="10"/>
  </r>
  <r>
    <s v="ПК 241"/>
    <s v="Алматы"/>
    <s v="КГУ &quot;Общеобразовательная школа-интернат № 10 для детей из малообеспеченных семей&quot; Управления образования города Алматы"/>
    <n v="31240003009"/>
    <d v="2026-04-07T00:00:00"/>
    <n v="432334.7"/>
    <n v="20"/>
    <n v="95978.303400000004"/>
    <n v="336356.39659999998"/>
    <x v="10"/>
  </r>
  <r>
    <s v="А17"/>
    <s v="Алматы"/>
    <s v="КГУ &quot;Общеобразовательная школа-интернат № 10 для детей из малообеспеченных семей&quot; Управления образования города Алматы"/>
    <n v="31240003009"/>
    <d v="2026-04-07T00:00:00"/>
    <n v="82800"/>
    <n v="20"/>
    <n v="18381.600000000002"/>
    <n v="64418.399999999994"/>
    <x v="10"/>
  </r>
  <r>
    <s v="А17"/>
    <s v="Алматы"/>
    <s v="КГУ &quot;Общеобразовательная школа-интернат № 10 для детей из малообеспеченных семей&quot; Управления образования города Алматы"/>
    <n v="31240003009"/>
    <d v="2026-04-07T00:00:00"/>
    <n v="299600"/>
    <n v="20"/>
    <n v="66511.200000000012"/>
    <n v="233088.8"/>
    <x v="10"/>
  </r>
  <r>
    <s v="ПК 241"/>
    <s v="Алматы"/>
    <s v="КГУ &quot;Школа -гимназия №206&quot; Управления образования города Алматы"/>
    <n v="220840011148"/>
    <d v="2026-04-08T00:00:00"/>
    <n v="266579.14"/>
    <n v="20"/>
    <n v="59180.569080000016"/>
    <n v="207398.57092"/>
    <x v="11"/>
  </r>
  <r>
    <s v="ПК 241"/>
    <s v="Алматы"/>
    <s v="КГУ “Кабинет психолого-педагогической коррекции Жетысуского района города Алматы” Управления образования города Алматы"/>
    <n v="210640002794"/>
    <d v="2026-04-10T00:00:00"/>
    <n v="83024.960000000006"/>
    <n v="20"/>
    <n v="18431.541120000005"/>
    <n v="64593.418879999997"/>
    <x v="10"/>
  </r>
  <r>
    <s v="А17"/>
    <s v="Алматы"/>
    <s v="КГУ “Кабинет психолого-педагогической коррекции Жетысуского района города Алматы” Управления образования города Алматы"/>
    <n v="210640002794"/>
    <d v="2026-04-13T00:00:00"/>
    <n v="61620.01"/>
    <n v="20"/>
    <n v="13679.642220000002"/>
    <n v="47940.36778"/>
    <x v="10"/>
  </r>
  <r>
    <s v="А17"/>
    <s v="Алматы"/>
    <s v="КГУ “Кабинет психолого-педагогической коррекции Жетысуского района города Алматы” Управления образования города Алматы"/>
    <n v="210640002794"/>
    <d v="2026-04-13T00:00:00"/>
    <n v="66304.070000000007"/>
    <n v="20"/>
    <n v="14719.503540000003"/>
    <n v="51584.566460000002"/>
    <x v="10"/>
  </r>
  <r>
    <s v="ПК 241"/>
    <s v="Алматы"/>
    <s v="Коммунальное государственное учреждение &quot;Специальный ясли -сад для детей с тяжелыми нарушениями речи №145&quot; Управления образования города"/>
    <n v="990440003835"/>
    <d v="2026-04-14T00:00:00"/>
    <n v="348400"/>
    <n v="20"/>
    <n v="77344.800000000003"/>
    <n v="271055.2"/>
    <x v="12"/>
  </r>
  <r>
    <s v="ПК 241"/>
    <s v="Алматы"/>
    <s v="Коммунальное государственное учреждение &quot;Специализированная гимназия №12 имени Шохана Уалиханова&quot; Управления образования г. Алматы"/>
    <n v="990440002936"/>
    <d v="2026-04-14T00:00:00"/>
    <n v="616001.76"/>
    <n v="20"/>
    <n v="136752.39072000002"/>
    <n v="479249.36927999998"/>
    <x v="10"/>
  </r>
  <r>
    <s v="А17"/>
    <s v="Алматы"/>
    <s v="Коммунальное государственное учреждение &quot;Специализированная гимназия №12 имени Шохана Уалиханова&quot; Управления образования г. Алматы"/>
    <n v="990440002936"/>
    <d v="2026-04-14T00:00:00"/>
    <n v="492900"/>
    <n v="20"/>
    <n v="109423.8"/>
    <n v="383476.2"/>
    <x v="10"/>
  </r>
  <r>
    <s v="ПК 241"/>
    <s v="Алматы"/>
    <s v="КГУ “Кабинет психолого-педагогической коррекции Жетысуского района города Алматы” Управления образования города Алматы"/>
    <n v="210640002794"/>
    <d v="2026-04-15T00:00:00"/>
    <n v="71879.95"/>
    <n v="20"/>
    <n v="15957.348900000001"/>
    <n v="55922.6011"/>
    <x v="10"/>
  </r>
  <r>
    <s v="ПК 241"/>
    <s v="Алматы"/>
    <s v="КГУ “Кабинет психолого-педагогической коррекции Жетысуского района города Алматы” Управления образования города Алматы"/>
    <n v="210640002794"/>
    <d v="2026-04-15T00:00:00"/>
    <n v="155960.15"/>
    <n v="20"/>
    <n v="34623.153299999998"/>
    <n v="121336.99669999999"/>
    <x v="10"/>
  </r>
  <r>
    <s v="ПК 241"/>
    <s v="Алматы"/>
    <s v="Коммунальное государственное учреждение &quot;Школа-гимназия №180&quot; Управления образования города Алматы"/>
    <n v="130240021144"/>
    <d v="2026-04-15T00:00:00"/>
    <n v="164320.03"/>
    <n v="10"/>
    <n v="18239.523330000004"/>
    <n v="146080.50667"/>
    <x v="11"/>
  </r>
  <r>
    <s v="ПК 241"/>
    <s v="Алматы"/>
    <s v="Коммунальное государственное учреждение &quot;Школа-гимназия №180&quot; Управления образования города Алматы"/>
    <n v="130240021144"/>
    <d v="2026-04-15T00:00:00"/>
    <n v="902105.85"/>
    <n v="10"/>
    <n v="100133.74935000001"/>
    <n v="801972.10064999992"/>
    <x v="11"/>
  </r>
  <r>
    <s v="А17"/>
    <s v="Алматы"/>
    <s v="Коммунальное государственное учреждение &quot;Специальный ясли -сад для детей с тяжелыми нарушениями речи №145&quot; Управления образования города"/>
    <n v="990440003835"/>
    <d v="2026-04-15T00:00:00"/>
    <n v="243830"/>
    <n v="20"/>
    <n v="54130.26"/>
    <n v="189699.74"/>
    <x v="12"/>
  </r>
  <r>
    <s v="ПК 241"/>
    <s v="Алматы"/>
    <s v="КГУ &quot;Школа–гимназия №110&quot; Управления образования города Алматы"/>
    <n v="961140000798"/>
    <d v="2026-04-16T00:00:00"/>
    <n v="26378"/>
    <n v="15"/>
    <n v="4391.9369999999999"/>
    <n v="21986.063000000002"/>
    <x v="10"/>
  </r>
  <r>
    <s v="ПК 241"/>
    <s v="Алматы"/>
    <s v="КГУ &quot;Гимназия №111&quot; Управления образования города Алматы"/>
    <n v="990440003459"/>
    <d v="2026-04-16T00:00:00"/>
    <n v="229674"/>
    <n v="10"/>
    <n v="25493.814000000002"/>
    <n v="204180.18599999999"/>
    <x v="11"/>
  </r>
  <r>
    <s v="ПК 241"/>
    <s v="Алматы"/>
    <s v="КГУ &quot;Школа гимназия №118&quot; Управления образования города Алматы"/>
    <n v="961140000341"/>
    <d v="2026-04-16T00:00:00"/>
    <n v="348199"/>
    <n v="10"/>
    <n v="38650.089000000007"/>
    <n v="309548.91099999996"/>
    <x v="11"/>
  </r>
  <r>
    <s v="ПК 241"/>
    <s v="Алматы"/>
    <s v="КГУ &quot;Школа-гимназия №123 имени Кожа Ахмета Яссауи&quot; Управления образования города Алматы"/>
    <n v="990440003250"/>
    <d v="2026-04-17T00:00:00"/>
    <n v="1121880.08"/>
    <n v="20"/>
    <n v="249057.37776000003"/>
    <n v="872822.70224000001"/>
    <x v="11"/>
  </r>
  <r>
    <s v="А17"/>
    <s v="Алматы"/>
    <s v="ЯС №082"/>
    <n v="990340004893"/>
    <d v="2026-04-20T00:00:00"/>
    <n v="269040"/>
    <n v="20"/>
    <n v="59726.880000000005"/>
    <n v="209313.12"/>
    <x v="12"/>
  </r>
  <r>
    <s v="ПК 241"/>
    <s v="Алматы"/>
    <s v="Коммунальное государственное учреждение &quot;Общеобразовательная школа №216&quot; Управления образования города Алматы"/>
    <n v="250540020518"/>
    <d v="2026-04-21T00:00:00"/>
    <n v="88059.78"/>
    <n v="20"/>
    <n v="19549.271160000004"/>
    <n v="68510.508839999995"/>
    <x v="11"/>
  </r>
  <r>
    <s v="ПК 241"/>
    <s v="Алматы"/>
    <s v="Коммунальное государственное учреждение &quot;Коррекционный ясли-сад № 111 для детей с тяжелыми нарушениями речи&quot; Управления образования города А"/>
    <n v="990440004289"/>
    <d v="2026-04-21T00:00:00"/>
    <n v="115024"/>
    <n v="10"/>
    <n v="12767.664000000001"/>
    <n v="102256.336"/>
    <x v="11"/>
  </r>
  <r>
    <s v="ПК 241"/>
    <s v="Алматы"/>
    <s v="Коммунальное государственное учреждение &quot;Коррекционный ясли-сад № 111 для детей с тяжелыми нарушениями речи&quot; Управления образования города А"/>
    <n v="990440004289"/>
    <d v="2026-04-21T00:00:00"/>
    <n v="159167.97"/>
    <n v="10"/>
    <n v="17667.644670000001"/>
    <n v="141500.32532999999"/>
    <x v="11"/>
  </r>
  <r>
    <s v="А17"/>
    <s v="Алматы"/>
    <s v="Коммунальное государственное учреждение &quot;Коррекционный ясли-сад № 111 для детей с тяжелыми нарушениями речи&quot; Управления образования города А"/>
    <n v="990440004289"/>
    <d v="2026-04-21T00:00:00"/>
    <n v="98490.04"/>
    <n v="10"/>
    <n v="10932.39444"/>
    <n v="87557.64555999999"/>
    <x v="11"/>
  </r>
  <r>
    <s v="А17"/>
    <s v="Алматы"/>
    <s v="КГУ &quot;Школа-гимназия №176&quot; Управления образования г. Алматы"/>
    <n v="90340002459"/>
    <d v="2026-04-21T00:00:00"/>
    <n v="2087700.72"/>
    <n v="20"/>
    <n v="463469.55984"/>
    <n v="1624231.16016"/>
    <x v="11"/>
  </r>
  <r>
    <s v="ПК 241"/>
    <s v="Алматы"/>
    <s v="КГУ &quot;Общеобразовательная школа №93&quot; Управления образования города Алматы"/>
    <n v="990440003667"/>
    <d v="2026-04-22T00:00:00"/>
    <n v="212499.82"/>
    <n v="20"/>
    <n v="47174.960040000013"/>
    <n v="165324.85996"/>
    <x v="10"/>
  </r>
  <r>
    <s v="ПК 241"/>
    <s v="Алматы"/>
    <s v="КГУ &quot;Общеобразовательная школа №93&quot; Управления образования города Алматы"/>
    <n v="990440003667"/>
    <d v="2026-04-22T00:00:00"/>
    <n v="359050.39"/>
    <n v="20"/>
    <n v="79709.186580000023"/>
    <n v="279341.20341999998"/>
    <x v="10"/>
  </r>
  <r>
    <s v="ПК 241"/>
    <s v="Алматы"/>
    <s v="КГУ &quot;Школа-гимназия №108&quot; Управления образования города Алматы"/>
    <n v="961140000936"/>
    <d v="2026-04-22T00:00:00"/>
    <n v="630001.80000000005"/>
    <n v="20"/>
    <n v="139860.3996"/>
    <n v="490141.40040000004"/>
    <x v="12"/>
  </r>
  <r>
    <s v="А17"/>
    <s v="Алматы"/>
    <s v="КГУ &quot;Общеобразовательная школа №93&quot; Управления образования города Алматы"/>
    <n v="990440003667"/>
    <d v="2026-04-22T00:00:00"/>
    <n v="663250.18000000005"/>
    <n v="20"/>
    <n v="147241.53996000002"/>
    <n v="516008.64004000003"/>
    <x v="10"/>
  </r>
  <r>
    <s v="ПК 241"/>
    <s v="Алматы"/>
    <s v="Коммунальное государственное учреждение &quot;Общеобразовательная школа №216&quot; Управления образования города Алматы"/>
    <n v="250540020518"/>
    <d v="2026-04-23T00:00:00"/>
    <n v="1568422.33"/>
    <n v="20"/>
    <n v="348189.75726000004"/>
    <n v="1220232.57274"/>
    <x v="11"/>
  </r>
  <r>
    <s v="ПК 241"/>
    <s v="Алматы"/>
    <s v="КГУ &quot;Школа-гимназия №108&quot; Управления образования города Алматы"/>
    <n v="961140000936"/>
    <d v="2026-04-23T00:00:00"/>
    <n v="2182500.7200000002"/>
    <n v="20"/>
    <n v="484515.15984000015"/>
    <n v="1697985.5601600001"/>
    <x v="12"/>
  </r>
  <r>
    <s v="А17"/>
    <s v="Алматы"/>
    <s v="КГУ &quot;Школа-гимназия №108&quot; Управления образования города Алматы"/>
    <n v="961140000936"/>
    <d v="2026-04-23T00:00:00"/>
    <n v="189400.16"/>
    <n v="20"/>
    <n v="42046.835520000001"/>
    <n v="147353.32448000001"/>
    <x v="12"/>
  </r>
  <r>
    <s v="А17"/>
    <s v="Алматы"/>
    <s v="КГУ &quot;Общеобразовательная школа № 26"/>
    <n v="240840021199"/>
    <d v="2026-04-23T00:00:00"/>
    <n v="265348.5"/>
    <n v="0"/>
    <n v="0"/>
    <n v="265348.5"/>
    <x v="12"/>
  </r>
  <r>
    <s v="А17"/>
    <s v="Алматы"/>
    <s v="КГУ &quot;Школа-гимназия №108&quot; Управления образования города Алматы"/>
    <n v="61140000936"/>
    <d v="2026-04-23T00:00:00"/>
    <n v="924702.12"/>
    <n v="20"/>
    <n v="205283.87064000001"/>
    <n v="719418.24936000002"/>
    <x v="12"/>
  </r>
  <r>
    <s v="ПК 241"/>
    <s v="Алматы"/>
    <s v="НАО Каз.нац. исслед тех.унив. имени К.И. Сатпаева"/>
    <n v="150140008602"/>
    <d v="2026-04-24T00:00:00"/>
    <n v="8099978.5800000001"/>
    <n v="30"/>
    <n v="2697292.8671400002"/>
    <n v="5402685.7128599994"/>
    <x v="12"/>
  </r>
  <r>
    <s v="ПК 241"/>
    <s v="Алматы"/>
    <s v="КГУ &quot;Школа-гимназия №53&quot; Управления образования г. Алматы"/>
    <n v="990440002946"/>
    <d v="2026-04-27T00:00:00"/>
    <n v="678359.86"/>
    <n v="20"/>
    <n v="150595.88892"/>
    <n v="527763.97108000005"/>
    <x v="10"/>
  </r>
  <r>
    <s v="А17"/>
    <s v="Алматы"/>
    <s v="КГУ &quot;Школа-гимназия №53&quot; Управления образования г. Алматы"/>
    <n v="990440002946"/>
    <d v="2026-04-27T00:00:00"/>
    <n v="75479.81"/>
    <n v="20"/>
    <n v="16756.517820000001"/>
    <n v="58723.292179999997"/>
    <x v="10"/>
  </r>
  <r>
    <s v="ПК 241"/>
    <s v="Алматы"/>
    <s v="КГУ &quot;Школа-гимназия №73&quot; Управления образования города Алматы"/>
    <n v="990440003697"/>
    <d v="2026-04-28T00:00:00"/>
    <n v="61919.87"/>
    <n v="20"/>
    <n v="13746.211140000003"/>
    <n v="48173.658859999996"/>
    <x v="10"/>
  </r>
  <r>
    <s v="ПК 241"/>
    <s v="Алматы"/>
    <s v="Коммунальное государственное учреждение &quot;Коррекционный ясли-сад № 111 для детей с тяжелыми нарушениями речи&quot; Управления образования города А"/>
    <n v="990440004289"/>
    <d v="2026-04-28T00:00:00"/>
    <n v="98592.02"/>
    <n v="10"/>
    <n v="10943.714220000002"/>
    <n v="87648.305779999995"/>
    <x v="11"/>
  </r>
  <r>
    <s v="ПК 241"/>
    <s v="Алматы"/>
    <s v="Коммунальное государственное учреждение &quot;Школа-гимназия №180&quot; Управления образования города Алматы"/>
    <n v="130240021144"/>
    <d v="2026-04-28T00:00:00"/>
    <n v="164320.03"/>
    <n v="10"/>
    <n v="18239.523330000004"/>
    <n v="146080.50667"/>
    <x v="11"/>
  </r>
  <r>
    <s v="ПК 241"/>
    <s v="Алматы"/>
    <s v="КГУ &quot;Общеобразовательная средняя школа №3 имени Абая&quot; государственного учреждения &quot;Отдел образования по Талгарскому району Управления образо"/>
    <n v="780940000022"/>
    <d v="2026-04-28T00:00:00"/>
    <n v="415840.16"/>
    <n v="20"/>
    <n v="92316.515520000001"/>
    <n v="323523.64447999996"/>
    <x v="12"/>
  </r>
  <r>
    <s v="ПК 241"/>
    <s v="Алматы"/>
    <s v="Коммунальное государственное учреждение &quot;Общеобразовательная школа №216&quot; Управления образования города Алматы"/>
    <n v="250540020518"/>
    <d v="2026-04-28T00:00:00"/>
    <n v="632590.23"/>
    <n v="20"/>
    <n v="140435.03106000001"/>
    <n v="492155.19893999997"/>
    <x v="11"/>
  </r>
  <r>
    <s v="ПК 241"/>
    <s v="Алматы"/>
    <s v="КГУ &quot;Школа – интернат №17&quot; Управления образования города Алматы"/>
    <n v="990440003598"/>
    <d v="2026-04-28T00:00:00"/>
    <n v="1195649.7"/>
    <n v="20"/>
    <n v="265434.23340000003"/>
    <n v="930215.46659999993"/>
    <x v="12"/>
  </r>
  <r>
    <s v="А17"/>
    <s v="Алматы"/>
    <s v="КГУ &quot;Школа-гимназия №123 имени Кожа Ахмета Яссауи&quot; Управления образования города Алматы"/>
    <n v="990440003250"/>
    <d v="2026-04-28T00:00:00"/>
    <n v="4210"/>
    <n v="20"/>
    <n v="934.62000000000012"/>
    <n v="3275.38"/>
    <x v="11"/>
  </r>
  <r>
    <s v="А17"/>
    <s v="Алматы"/>
    <s v="КГУ &quot;Школа – интернат №17&quot; Управления образования города Алматы"/>
    <n v="990440003598"/>
    <d v="2026-04-28T00:00:00"/>
    <n v="637349.81999999995"/>
    <n v="20"/>
    <n v="141491.66003999999"/>
    <n v="495858.15995999996"/>
    <x v="12"/>
  </r>
  <r>
    <s v="ПК 241"/>
    <s v="Алматы"/>
    <s v="КГУ &quot;Лицей №24&quot; Управления образования города Алматы"/>
    <n v="990440003220"/>
    <d v="2026-04-29T00:00:00"/>
    <n v="194768.17"/>
    <n v="20"/>
    <n v="43238.533740000013"/>
    <n v="151529.63626"/>
    <x v="12"/>
  </r>
  <r>
    <s v="ПК 241"/>
    <s v="Алматы"/>
    <s v="КГУ &quot;Общеобразовательная школа №109&quot; Управления образования города Алматы"/>
    <n v="990440002916"/>
    <d v="2026-04-29T00:00:00"/>
    <n v="424899.88"/>
    <n v="20"/>
    <n v="94327.773360000007"/>
    <n v="330572.10664000001"/>
    <x v="12"/>
  </r>
  <r>
    <s v="ПК 241"/>
    <s v="Алматы"/>
    <s v="КГУ &quot;Общеобразовательная школа №109&quot; Управления образования города Алматы"/>
    <n v="990440002916"/>
    <d v="2026-04-29T00:00:00"/>
    <n v="509879.86"/>
    <n v="20"/>
    <n v="113193.32892"/>
    <n v="396686.53107999999"/>
    <x v="12"/>
  </r>
  <r>
    <s v="ПК 241"/>
    <s v="Алматы"/>
    <s v="КГУ &quot;Школа-гимназия №53&quot; Управления образования г. Алматы"/>
    <n v="990440002946"/>
    <d v="2026-04-29T00:00:00"/>
    <n v="591399.9"/>
    <n v="20"/>
    <n v="131290.77780000001"/>
    <n v="460109.12219999998"/>
    <x v="10"/>
  </r>
  <r>
    <s v="ПК 241"/>
    <s v="Алматы"/>
    <s v="КГУ Общеобразовательная школа №149 Управления образования г. Алматы"/>
    <n v="990440002926"/>
    <d v="2026-04-29T00:00:00"/>
    <n v="778041"/>
    <n v="15"/>
    <n v="129543.82650000001"/>
    <n v="648497.17350000003"/>
    <x v="11"/>
  </r>
  <r>
    <s v="ПК 241"/>
    <s v="Алматы"/>
    <s v="Коммунальное государственное учреждение &quot;Школа - гимназия №202&quot; Управления образования города Алматы"/>
    <n v="201040030808"/>
    <d v="2026-04-29T00:00:00"/>
    <n v="915866.4"/>
    <n v="20"/>
    <n v="203322.34080000001"/>
    <n v="712544.05920000002"/>
    <x v="11"/>
  </r>
  <r>
    <s v="ПК 241"/>
    <s v="Алматы"/>
    <s v="КГУ &quot;Общеобразовательная школа № 74 имени С.Сейфуллина&quot; Управления_x000a__x000a_образования города Алматы"/>
    <n v="961140000857"/>
    <d v="2026-04-29T00:00:00"/>
    <n v="961301.28"/>
    <n v="10"/>
    <n v="106704.44208000002"/>
    <n v="854596.83791999996"/>
    <x v="11"/>
  </r>
  <r>
    <s v="ПК 241"/>
    <s v="Алматы"/>
    <s v="Коммунальное государственное учреждение &quot;Школа - гимназия №202&quot; Управления образования города Алматы"/>
    <n v="201040030808"/>
    <d v="2026-04-29T00:00:00"/>
    <n v="1057003.6000000001"/>
    <n v="20"/>
    <n v="234654.79920000001"/>
    <n v="822348.80080000008"/>
    <x v="11"/>
  </r>
  <r>
    <s v="ПК 241"/>
    <s v="Алматы"/>
    <s v="КГУ &quot;Гимназия №138 имени М.Базарбаева&quot; Управления образования города Алматы"/>
    <n v="990440003002"/>
    <d v="2026-04-29T00:00:00"/>
    <n v="5571448.5599999996"/>
    <n v="10"/>
    <n v="618430.79015999998"/>
    <n v="4953017.7698399993"/>
    <x v="7"/>
  </r>
  <r>
    <s v="А17"/>
    <s v="Алматы"/>
    <s v="КГУ Общеобразовательная школа №149 Управления образования г. Алматы"/>
    <n v="990440002926"/>
    <d v="2026-04-29T00:00:00"/>
    <n v="94720.03"/>
    <n v="15"/>
    <n v="15770.884995"/>
    <n v="78949.145004999998"/>
    <x v="11"/>
  </r>
  <r>
    <s v="А17"/>
    <s v="Алматы"/>
    <s v="КГУ &quot;Школа–гимназия №81&quot; Управления образования города Алматы"/>
    <n v="990440003706"/>
    <d v="2026-04-29T00:00:00"/>
    <n v="379525.2"/>
    <n v="20"/>
    <n v="84254.594400000002"/>
    <n v="295270.60560000001"/>
    <x v="11"/>
  </r>
  <r>
    <s v="А17"/>
    <s v="Алматы"/>
    <s v="КГУ &quot;Лицей №24&quot; Управления образования города Алматы"/>
    <n v="990440003220"/>
    <d v="2026-04-29T00:00:00"/>
    <n v="647618.57999999996"/>
    <n v="20"/>
    <n v="143771.32476000002"/>
    <n v="503847.25523999997"/>
    <x v="12"/>
  </r>
  <r>
    <s v="ПК 241"/>
    <s v="Алматы"/>
    <s v="КГУ &quot;Школа-гимназия №53&quot; Управления образования г. Алматы"/>
    <n v="990440002946"/>
    <d v="2026-04-30T00:00:00"/>
    <n v="300"/>
    <n v="20"/>
    <n v="66.600000000000009"/>
    <n v="233.39999999999998"/>
    <x v="10"/>
  </r>
  <r>
    <s v="ПК 241"/>
    <s v="Алматы"/>
    <s v="КГУ “Кабинет психолого-педагогической коррекции Жетысуского района города Алматы” Управления образования города Алматы"/>
    <n v="210640002794"/>
    <d v="2026-04-30T00:00:00"/>
    <n v="34151.879999999997"/>
    <n v="20"/>
    <n v="7581.7173600000006"/>
    <n v="26570.162639999995"/>
    <x v="10"/>
  </r>
  <r>
    <s v="ПК 241"/>
    <s v="Алматы"/>
    <s v="КГУ &quot;Гимназия №35&quot; Управления образования города Алматы"/>
    <n v="990440003131"/>
    <d v="2026-04-30T00:00:00"/>
    <n v="43140.17"/>
    <n v="20"/>
    <n v="9577.1177399999997"/>
    <n v="33563.052259999997"/>
    <x v="10"/>
  </r>
  <r>
    <s v="ПК 241"/>
    <s v="Алматы"/>
    <s v="Коммунальное государственное учреждение &quot;Школа -гимназия №212&quot; Управление образования города Алматы"/>
    <n v="240940001544"/>
    <d v="2026-04-30T00:00:00"/>
    <n v="53050.28"/>
    <n v="20"/>
    <n v="11777.162160000002"/>
    <n v="41273.117839999999"/>
    <x v="11"/>
  </r>
  <r>
    <s v="ПК 241"/>
    <s v="Алматы"/>
    <s v="Коммунальное государственное учреждение &quot;Коррекционный ясли-сад № 111 для детей с тяжелыми нарушениями речи&quot; Управления образования города А"/>
    <n v="990440004289"/>
    <d v="2026-04-30T00:00:00"/>
    <n v="61182.02"/>
    <n v="10"/>
    <n v="6791.2042199999996"/>
    <n v="54390.815779999997"/>
    <x v="11"/>
  </r>
  <r>
    <s v="ПК 241"/>
    <s v="Алматы"/>
    <s v="КГУ &quot;Общеобразовательная школа №2&quot; Управления образования города Алматы"/>
    <n v="961140001022"/>
    <d v="2026-04-30T00:00:00"/>
    <n v="129119.83"/>
    <n v="0"/>
    <n v="0"/>
    <n v="129119.83"/>
    <x v="12"/>
  </r>
  <r>
    <s v="ПК 241"/>
    <s v="Алматы"/>
    <s v="Коммунальное государственное учреждение &quot;Школа – гимназия №174&quot; Управления образования города Алматы&quot;"/>
    <n v="171040003525"/>
    <d v="2026-04-30T00:00:00"/>
    <n v="149899.84"/>
    <n v="20"/>
    <n v="33277.764479999998"/>
    <n v="116622.07552"/>
    <x v="11"/>
  </r>
  <r>
    <s v="ПК 241"/>
    <s v="Алматы"/>
    <s v="КГУ &quot;Общеобразовательная школа №109&quot; Управления образования города Алматы"/>
    <n v="990440002916"/>
    <d v="2026-04-30T00:00:00"/>
    <n v="160599.97"/>
    <n v="20"/>
    <n v="35653.193340000005"/>
    <n v="124946.77666"/>
    <x v="12"/>
  </r>
  <r>
    <s v="ПК 241"/>
    <s v="Алматы"/>
    <s v="КГУ &quot;Специализированная школа–лицей №90&quot; Управления образования города Алматы"/>
    <n v="990440003072"/>
    <d v="2026-04-30T00:00:00"/>
    <n v="278200.48"/>
    <n v="20"/>
    <n v="61760.506560000002"/>
    <n v="216439.97343999997"/>
    <x v="10"/>
  </r>
  <r>
    <s v="ПК 241"/>
    <s v="Алматы"/>
    <s v="КГУ &quot;Гимназия №35&quot; Управления образования города Алматы"/>
    <n v="990440003131"/>
    <d v="2026-04-30T00:00:00"/>
    <n v="314388.21000000002"/>
    <n v="20"/>
    <n v="69794.182620000007"/>
    <n v="244594.02738000001"/>
    <x v="10"/>
  </r>
  <r>
    <s v="ПК 241"/>
    <s v="Алматы"/>
    <s v="КГУ &quot;Общеобразовательная школа №160&quot; Управления образования города Алматы"/>
    <n v="830240000019"/>
    <d v="2026-04-30T00:00:00"/>
    <n v="326499.40000000002"/>
    <n v="20"/>
    <n v="72482.866800000003"/>
    <n v="254016.53320000001"/>
    <x v="10"/>
  </r>
  <r>
    <s v="ПК 241"/>
    <s v="Алматы"/>
    <s v="Коммунальное государственное казенное предприятие &quot;Ясли-сад №46&quot; Управления образования города Алматы"/>
    <n v="990240003779"/>
    <d v="2026-04-30T00:00:00"/>
    <n v="328724.23"/>
    <n v="15"/>
    <n v="54732.584294999993"/>
    <n v="273991.64570499997"/>
    <x v="12"/>
  </r>
  <r>
    <s v="ПК 241"/>
    <s v="Алматы"/>
    <s v="КГУ &quot;Школа – интернат №17&quot; Управления образования города Алматы"/>
    <n v="990440003598"/>
    <d v="2026-04-30T00:00:00"/>
    <n v="409350.08"/>
    <n v="20"/>
    <n v="90875.717760000014"/>
    <n v="318474.36223999999"/>
    <x v="12"/>
  </r>
  <r>
    <s v="ПК 241"/>
    <s v="Алматы"/>
    <s v="КГУ &quot;Общеобразовательная школа №2&quot; Управления образования города Алматы"/>
    <n v="961140001022"/>
    <d v="2026-04-30T00:00:00"/>
    <n v="410200.13"/>
    <n v="0"/>
    <n v="0"/>
    <n v="410200.13"/>
    <x v="12"/>
  </r>
  <r>
    <s v="ПК 241"/>
    <s v="Алматы"/>
    <s v="КГУ &quot;Общеобразовательная школа № 84&quot; Управления образования города Алматы"/>
    <n v="961140000887"/>
    <d v="2026-04-30T00:00:00"/>
    <n v="579950.12"/>
    <n v="10"/>
    <n v="64374.46332000001"/>
    <n v="515575.65668000001"/>
    <x v="12"/>
  </r>
  <r>
    <s v="ПК 241"/>
    <s v="Алматы"/>
    <s v="Коммунальное государственное учреждение &quot;Школа – гимназия №174&quot; Управления образования города Алматы&quot;"/>
    <n v="171040003525"/>
    <d v="2026-04-30T00:00:00"/>
    <n v="709799.36"/>
    <n v="20"/>
    <n v="157575.45792000002"/>
    <n v="552223.90207999991"/>
    <x v="11"/>
  </r>
  <r>
    <s v="ПК 241"/>
    <s v="Алматы"/>
    <s v="КГУ &quot;Школа-гимназия №68&quot; Управления образования города Алматы"/>
    <n v="990440002827"/>
    <d v="2026-04-30T00:00:00"/>
    <n v="828851.32"/>
    <n v="20"/>
    <n v="184004.99304"/>
    <n v="644846.32695999998"/>
    <x v="12"/>
  </r>
  <r>
    <s v="ПК 241"/>
    <s v="Алматы"/>
    <s v="КГУ &quot;Школа–гимназия №81&quot; Управления образования города Алматы"/>
    <n v="990440003706"/>
    <d v="2026-04-30T00:00:00"/>
    <n v="866202.16"/>
    <n v="20"/>
    <n v="192296.87952000002"/>
    <n v="673905.28047999996"/>
    <x v="11"/>
  </r>
  <r>
    <s v="ПК 241"/>
    <s v="Алматы"/>
    <s v="Коммунальное государственное учреждение &quot;Школа-лицей №207&quot; Управления оброзования города Алматы"/>
    <n v="230140012579"/>
    <d v="2026-04-30T00:00:00"/>
    <n v="869501.2"/>
    <n v="20"/>
    <n v="193029.26639999999"/>
    <n v="676471.93359999999"/>
    <x v="11"/>
  </r>
  <r>
    <s v="ПК 241"/>
    <s v="Алматы"/>
    <s v="КГУ &quot;Гимназия №35&quot; Управления образования города Алматы"/>
    <n v="990440003131"/>
    <d v="2026-04-30T00:00:00"/>
    <n v="946480.19"/>
    <n v="20"/>
    <n v="210118.60217999999"/>
    <n v="736361.58782000002"/>
    <x v="10"/>
  </r>
  <r>
    <s v="ПК 241"/>
    <s v="Алматы"/>
    <s v="КГУ &quot;Общеобразовательная школа №160&quot; Управления образования города Алматы"/>
    <n v="830240000019"/>
    <d v="2026-04-30T00:00:00"/>
    <n v="981960.3"/>
    <n v="20"/>
    <n v="217995.18660000002"/>
    <n v="763965.11340000003"/>
    <x v="10"/>
  </r>
  <r>
    <s v="ПК 241"/>
    <s v="Алматы"/>
    <s v="Коммунальное государственное учреждение &quot;Школа – гимназия №174&quot; Управления образования города Алматы&quot;"/>
    <n v="171040003525"/>
    <d v="2026-04-30T00:00:00"/>
    <n v="1355774.5"/>
    <n v="20"/>
    <n v="300981.93900000007"/>
    <n v="1054792.561"/>
    <x v="11"/>
  </r>
  <r>
    <s v="ПК 241"/>
    <s v="Алматы"/>
    <s v="КГУ &quot;Лицей №24&quot; Управления образования города Алматы"/>
    <n v="990440003220"/>
    <d v="2026-04-30T00:00:00"/>
    <n v="2063117.55"/>
    <n v="20"/>
    <n v="458012.09610000002"/>
    <n v="1605105.4539000001"/>
    <x v="12"/>
  </r>
  <r>
    <s v="ПК 241"/>
    <s v="Алматы"/>
    <s v="КГУ &quot;Школа-гимназия №68&quot; Управления образования города Алматы"/>
    <n v="990440002827"/>
    <d v="2026-04-30T00:00:00"/>
    <n v="2986068.29"/>
    <n v="20"/>
    <n v="662907.16038000002"/>
    <n v="2323161.1296199998"/>
    <x v="12"/>
  </r>
  <r>
    <s v="А17"/>
    <s v="Алматы"/>
    <s v="Коммунальное государственное учреждение &quot;Школа-гимназия №168 имени Касыл Катыкбаевой&quot; Управления образования города Алматы"/>
    <n v="790140000015"/>
    <d v="2026-04-30T00:00:00"/>
    <n v="208750.12"/>
    <n v="0"/>
    <n v="0"/>
    <n v="208750.12"/>
    <x v="10"/>
  </r>
  <r>
    <s v="А17"/>
    <s v="Алматы"/>
    <s v="КГУ &quot;Общеобразовательная школа №40&quot; Управления образования города Алматы"/>
    <n v="990440004167"/>
    <d v="2026-04-30T00:00:00"/>
    <n v="330120.45"/>
    <n v="20"/>
    <n v="73286.7399"/>
    <n v="256833.71010000003"/>
    <x v="10"/>
  </r>
  <r>
    <s v="А17"/>
    <s v="Алматы"/>
    <s v="КГУ &quot;Общеобразовательная школа №69&quot; Управления образования города Алматы"/>
    <n v="90440003479"/>
    <d v="2026-04-30T00:00:00"/>
    <n v="349999.84"/>
    <n v="0"/>
    <n v="0"/>
    <n v="349999.84"/>
    <x v="10"/>
  </r>
  <r>
    <s v="А17"/>
    <s v="Алматы"/>
    <s v="Коммунальное государственное учреждение &quot;Школа -гимназия №212&quot; Управление образования города Алматы"/>
    <n v="40940001544"/>
    <d v="2026-04-30T00:00:00"/>
    <n v="406680.57"/>
    <n v="20"/>
    <n v="90283.086540000004"/>
    <n v="316397.48346000002"/>
    <x v="11"/>
  </r>
  <r>
    <s v="А17"/>
    <s v="Алматы"/>
    <s v="Коммунальное государственное казенное предприятие &quot;Ясли-сад №46&quot; Управления образования города Алматы"/>
    <n v="990240003779"/>
    <d v="2026-04-30T00:00:00"/>
    <n v="552140.26"/>
    <n v="15"/>
    <n v="91931.353290000014"/>
    <n v="460208.90671000001"/>
    <x v="12"/>
  </r>
  <r>
    <s v="А17"/>
    <s v="Алматы"/>
    <s v="Коммунальное государственное учреждение &quot;Школа-лицей №207&quot; Управления оброзования города Алматы"/>
    <n v="30140012579"/>
    <d v="2026-04-30T00:00:00"/>
    <n v="881400.48"/>
    <n v="20"/>
    <n v="195670.90656000003"/>
    <n v="685729.57343999995"/>
    <x v="11"/>
  </r>
  <r>
    <s v="А17"/>
    <s v="Алматы"/>
    <s v="КГУ &quot;Гимназия №35&quot; Управления образования города Алматы"/>
    <n v="990440003131"/>
    <d v="2026-04-30T00:00:00"/>
    <n v="990279.33"/>
    <n v="20"/>
    <n v="219842.01126"/>
    <n v="770437.31874000002"/>
    <x v="10"/>
  </r>
  <r>
    <s v="А17"/>
    <s v="Алматы"/>
    <s v="КГУ &quot;Школа-гимназия №68&quot; Управления образования города Алматы"/>
    <n v="990440002827"/>
    <d v="2026-04-30T00:00:00"/>
    <n v="1854603.36"/>
    <n v="20"/>
    <n v="411721.94592000009"/>
    <n v="1442881.41408"/>
    <x v="12"/>
  </r>
  <r>
    <s v="ПК 241"/>
    <s v="ВКО"/>
    <s v="Коммунальное государственное учреждение &quot;Областная специализированная школа-лицей-интернат для одаренных детей&quot; управления образования Восто"/>
    <n v="991140003807"/>
    <d v="2026-04-01T00:00:00"/>
    <n v="16280"/>
    <n v="15"/>
    <n v="2710.6200000000003"/>
    <n v="13569.38"/>
    <x v="13"/>
  </r>
  <r>
    <s v="ПК 241"/>
    <s v="ВКО"/>
    <s v="НАО &quot;Восточно-Казахстанский технический университет имени Д."/>
    <n v="10440002379"/>
    <d v="2026-04-03T00:00:00"/>
    <n v="2430780"/>
    <n v="15"/>
    <n v="404724.87000000005"/>
    <n v="2026055.13"/>
    <x v="13"/>
  </r>
  <r>
    <s v="ПК 241"/>
    <s v="ВКО"/>
    <s v="Коммунальное государственное учреждение &quot;Средняя школа №42&quot; отдела образования по городу Усть-Каменогорску управления образования Восточно-К"/>
    <n v="990440005455"/>
    <d v="2026-04-09T00:00:00"/>
    <n v="80000.100000000006"/>
    <n v="0"/>
    <n v="0"/>
    <n v="80000.100000000006"/>
    <x v="13"/>
  </r>
  <r>
    <s v="ПК 241"/>
    <s v="ВКО"/>
    <s v="Коммунальное государственное учреждение &quot;Школа-гимназия №12&quot; отдела образования по городу Усть-Каменогорску управления образования Восточно-"/>
    <n v="240003902"/>
    <d v="2026-04-09T00:00:00"/>
    <n v="189328"/>
    <n v="10"/>
    <n v="21015.407999999999"/>
    <n v="168312.592"/>
    <x v="13"/>
  </r>
  <r>
    <s v="ПК 241"/>
    <s v="ВКО"/>
    <s v="КГУ Управление делами акима Восточно-Казахстанской области аппарата акима ВКО"/>
    <n v="130840013670"/>
    <d v="2026-04-10T00:00:00"/>
    <n v="106601"/>
    <n v="10"/>
    <n v="11832.711000000001"/>
    <n v="94768.289000000004"/>
    <x v="13"/>
  </r>
  <r>
    <s v="ПК 241"/>
    <s v="ВКО"/>
    <s v="Коммунальное государственное учреждение &quot;Областная специализированная школа-лицей-интернат для одаренных детей&quot; управления образования Восто"/>
    <n v="991140003807"/>
    <d v="2026-04-10T00:00:00"/>
    <n v="142300"/>
    <n v="15"/>
    <n v="23692.95"/>
    <n v="118607.05"/>
    <x v="13"/>
  </r>
  <r>
    <s v="ПК 241"/>
    <s v="ВКО"/>
    <s v="Коммунальное государственное учреждение &quot;Школа-лицей №34&quot; отдела образования по городу Усть-Каменогорску управления образования Восточно-Каз"/>
    <n v="961140001449"/>
    <d v="2026-04-10T00:00:00"/>
    <n v="231695.84"/>
    <n v="10"/>
    <n v="25718.238240000002"/>
    <n v="205977.60175999999"/>
    <x v="13"/>
  </r>
  <r>
    <s v="ПК 241"/>
    <s v="ВКО"/>
    <s v="КГУ &quot;Восточно-Казахстанская областная специализированная школа-интернат-колледж олимпийского резерва для одаренных детей в спорте&quot; управлен"/>
    <n v="970940001774"/>
    <d v="2026-04-10T00:00:00"/>
    <n v="384083.83"/>
    <n v="15"/>
    <n v="63949.957695000012"/>
    <n v="320133.87230500003"/>
    <x v="13"/>
  </r>
  <r>
    <s v="ПК 241"/>
    <s v="ВКО"/>
    <s v="КГУ Управление делами акима Восточно-Казахстанской области аппарата акима ВКО"/>
    <n v="130840013670"/>
    <d v="2026-04-10T00:00:00"/>
    <n v="476803"/>
    <n v="10"/>
    <n v="52925.133000000009"/>
    <n v="423877.86699999997"/>
    <x v="13"/>
  </r>
  <r>
    <s v="А17"/>
    <s v="ВКО"/>
    <s v="Коммунальное государственное учреждение &quot;Школа-гимназия №12&quot; отдела образования по городу Усть-Каменогорску управления образования Восточно-"/>
    <n v="240003902"/>
    <d v="2026-04-10T00:00:00"/>
    <n v="31320"/>
    <n v="10"/>
    <n v="3476.5200000000004"/>
    <n v="27843.48"/>
    <x v="13"/>
  </r>
  <r>
    <s v="ПК 241"/>
    <s v="ВКО"/>
    <s v="Коммунальное государственное учреждение &quot;Средняя школа №15&quot; отдела образования по городу Усть-Каменогорску управления образования Восточно-К"/>
    <n v="961240002262"/>
    <d v="2026-04-27T00:00:00"/>
    <n v="6955.01"/>
    <n v="10"/>
    <n v="772.00611000000015"/>
    <n v="6183.00389"/>
    <x v="13"/>
  </r>
  <r>
    <s v="ПК 241"/>
    <s v="ВКО"/>
    <s v="Коммунальное государственное учреждение &quot;Средняя школа №15&quot; отдела образования по городу Усть-Каменогорску управления образования Восточно-К"/>
    <n v="961240002262"/>
    <d v="2026-04-27T00:00:00"/>
    <n v="7254.99"/>
    <n v="10"/>
    <n v="805.30389000000002"/>
    <n v="6449.6861099999996"/>
    <x v="13"/>
  </r>
  <r>
    <s v="ПК 241"/>
    <s v="ВКО"/>
    <s v="Коммунальное государственное учреждение &quot;Средняя школа №15&quot; отдела образования по городу Усть-Каменогорску управления образования Восточно-К"/>
    <n v="961240002262"/>
    <d v="2026-04-27T00:00:00"/>
    <n v="32639.96"/>
    <n v="10"/>
    <n v="3623.0355599999998"/>
    <n v="29016.924439999999"/>
    <x v="13"/>
  </r>
  <r>
    <s v="ПК 241"/>
    <s v="ВКО"/>
    <s v="Коммунальное государственное учреждение &quot;Средняя школа №15&quot; отдела образования по городу Усть-Каменогорску управления образования Восточно-К"/>
    <n v="961240002262"/>
    <d v="2026-04-27T00:00:00"/>
    <n v="34500.019999999997"/>
    <n v="10"/>
    <n v="3829.5022199999999"/>
    <n v="30670.517779999998"/>
    <x v="13"/>
  </r>
  <r>
    <s v="ПК 241"/>
    <s v="ВКО"/>
    <s v="КГУ &quot;Зевакинский центр оказания специальных социальных услуг&quot; управления координации занятости и социальных программ Восточно-Казахстанской"/>
    <n v="990240005715"/>
    <d v="2026-04-27T00:00:00"/>
    <n v="77868.2"/>
    <n v="10"/>
    <n v="8643.3702000000012"/>
    <n v="69224.829799999992"/>
    <x v="13"/>
  </r>
  <r>
    <s v="ПК 241"/>
    <s v="ВКО"/>
    <s v="Коммунальное государственное учреждение &quot;Средняя школа №15&quot; отдела образования по городу Усть-Каменогорску управления образования Восточно-К"/>
    <n v="961240002262"/>
    <d v="2026-04-27T00:00:00"/>
    <n v="146399.42000000001"/>
    <n v="10"/>
    <n v="16250.335620000005"/>
    <n v="130149.08438000001"/>
    <x v="13"/>
  </r>
  <r>
    <s v="ПК 241"/>
    <s v="ВКО"/>
    <s v="Коммунальное государственное учреждение &quot;Средняя школа №15&quot; отдела образования по городу Усть-Каменогорску управления образования Восточно-К"/>
    <n v="961240002262"/>
    <d v="2026-04-27T00:00:00"/>
    <n v="153000.29"/>
    <n v="10"/>
    <n v="16983.032190000005"/>
    <n v="136017.25781000001"/>
    <x v="13"/>
  </r>
  <r>
    <s v="ПК 241"/>
    <s v="ВКО"/>
    <s v="Коммунальное государственное учреждение &quot;Средняя школа №15&quot; отдела образования по городу Усть-Каменогорску управления образования Восточно-К"/>
    <n v="961240002262"/>
    <d v="2026-04-27T00:00:00"/>
    <n v="263700.13"/>
    <n v="10"/>
    <n v="29270.71443"/>
    <n v="234429.41557000001"/>
    <x v="13"/>
  </r>
  <r>
    <s v="А17"/>
    <s v="ВКО"/>
    <s v="Коммунальное государственное учреждение &quot;Средняя школа №15&quot; отдела образования по городу Усть-Каменогорску управления образования Восточно-К"/>
    <n v="61240002262"/>
    <d v="2026-04-27T00:00:00"/>
    <n v="36250"/>
    <n v="10"/>
    <n v="4023.7500000000005"/>
    <n v="32226.25"/>
    <x v="13"/>
  </r>
  <r>
    <s v="А17"/>
    <s v="ВКО"/>
    <s v="Коммунальное государственное учреждение &quot;Средняя школа №15&quot; отдела образования по городу Усть-Каменогорску управления образования Восточно-К"/>
    <n v="61240002262"/>
    <d v="2026-04-27T00:00:00"/>
    <n v="106230.13"/>
    <n v="10"/>
    <n v="11791.544430000002"/>
    <n v="94438.585569999996"/>
    <x v="13"/>
  </r>
  <r>
    <s v="А17"/>
    <s v="ВКО"/>
    <s v="Коммунальное государственное учреждение &quot;Средняя школа №15&quot; отдела образования по городу Усть-Каменогорску управления образования Восточно-К"/>
    <n v="61240002262"/>
    <d v="2026-04-27T00:00:00"/>
    <n v="121999.52"/>
    <n v="10"/>
    <n v="13541.94672"/>
    <n v="108457.57328000001"/>
    <x v="13"/>
  </r>
  <r>
    <s v="ПК 241"/>
    <s v="ВКО"/>
    <s v="Коммунальное государственное учреждение &quot;Восточно-Казахстанская областная специализированная детско-юношеская спортивная школа олимпийского"/>
    <n v="220440030090"/>
    <d v="2026-04-28T00:00:00"/>
    <n v="39582.01"/>
    <n v="10"/>
    <n v="4393.6031100000009"/>
    <n v="35188.406889999998"/>
    <x v="13"/>
  </r>
  <r>
    <s v="ПК 241"/>
    <s v="ВКО"/>
    <s v="Коммунальное государственное учреждение &quot;Специальная школа-детский сад №14&quot; отдела образования по городу Усть-Каменогорску управления образо"/>
    <n v="40540004641"/>
    <d v="2026-04-28T00:00:00"/>
    <n v="415599"/>
    <n v="20"/>
    <n v="92262.978000000017"/>
    <n v="323336.022"/>
    <x v="13"/>
  </r>
  <r>
    <s v="А17"/>
    <s v="ВКО"/>
    <s v="Коммунальное государственное учреждение &quot;Усть-Каменогорский строительно-технический колледж&quot; управления образования Восточно-Казахстанской"/>
    <n v="120940016307"/>
    <d v="2026-04-28T00:00:00"/>
    <n v="61850.04"/>
    <n v="20"/>
    <n v="13730.70888"/>
    <n v="48119.331120000003"/>
    <x v="13"/>
  </r>
  <r>
    <s v="А17"/>
    <s v="ВКО"/>
    <s v="Коммунальное государственное учреждение &quot;Школа-гимназия №12&quot; отдела образования по городу Усть-Каменогорску управления образования Восточно-"/>
    <n v="240003902"/>
    <d v="2026-04-28T00:00:00"/>
    <n v="106469.9"/>
    <n v="10"/>
    <n v="11818.1589"/>
    <n v="94651.741099999999"/>
    <x v="13"/>
  </r>
  <r>
    <s v="А17"/>
    <s v="ВКО"/>
    <s v="Коммунальное государственное учреждение &quot;Специальная школа-детский сад №14&quot; отдела образования по городу Усть-Каменогорску управления образо"/>
    <n v="40540004641"/>
    <d v="2026-04-28T00:00:00"/>
    <n v="393240.93"/>
    <n v="20"/>
    <n v="87299.486460000015"/>
    <n v="305941.44354000001"/>
    <x v="13"/>
  </r>
  <r>
    <s v="ПК 241"/>
    <s v="ВКО"/>
    <s v="АО УМЗ"/>
    <n v="941040000097"/>
    <d v="2026-04-30T00:00:00"/>
    <n v="33976.400000000001"/>
    <n v="0"/>
    <n v="0"/>
    <n v="33976.400000000001"/>
    <x v="13"/>
  </r>
  <r>
    <s v="ПК 241"/>
    <s v="ВКО"/>
    <s v="АО УМЗ"/>
    <n v="941040000097"/>
    <d v="2026-04-30T00:00:00"/>
    <n v="48720"/>
    <n v="0"/>
    <n v="0"/>
    <n v="48720"/>
    <x v="13"/>
  </r>
  <r>
    <s v="ПК 241"/>
    <s v="ВКО"/>
    <s v="Коммунальное государственное учреждение &quot;Усть-Каменогорский строительно-технический колледж&quot; управления образования Восточно-Казахстанской"/>
    <n v="120940016307"/>
    <d v="2026-04-30T00:00:00"/>
    <n v="53360"/>
    <n v="20"/>
    <n v="11845.920000000002"/>
    <n v="41514.080000000002"/>
    <x v="13"/>
  </r>
  <r>
    <s v="ПК 241"/>
    <s v="ВКО"/>
    <s v="АО УМЗ"/>
    <n v="941040000097"/>
    <d v="2026-04-30T00:00:00"/>
    <n v="163560"/>
    <n v="10"/>
    <n v="18155.16"/>
    <n v="145404.84"/>
    <x v="13"/>
  </r>
  <r>
    <s v="ПК 241"/>
    <s v="ВКО"/>
    <s v="КГКП ясли-сад Балауса-Балєын ООТарбагатайскому району УО ВКО"/>
    <n v="101040005493"/>
    <d v="2026-04-30T00:00:00"/>
    <n v="241079.65"/>
    <n v="20"/>
    <n v="53519.682300000008"/>
    <n v="187559.96769999998"/>
    <x v="13"/>
  </r>
  <r>
    <s v="ПК 241"/>
    <s v="ВКО"/>
    <s v="Коммунальное государственное учреждение “Специальная школа” управления образования Восточно-Казахстанской области"/>
    <n v="971240002343"/>
    <d v="2026-04-30T00:00:00"/>
    <n v="717779.6"/>
    <n v="10"/>
    <n v="79673.535600000017"/>
    <n v="638106.06439999992"/>
    <x v="13"/>
  </r>
  <r>
    <s v="ПК 241"/>
    <s v="ВКО"/>
    <s v="АО УМЗ"/>
    <n v="941040000097"/>
    <d v="2026-04-30T00:00:00"/>
    <n v="900835.58"/>
    <n v="20"/>
    <n v="199985.49875999999"/>
    <n v="700850.08123999997"/>
    <x v="13"/>
  </r>
  <r>
    <s v="ПК 241"/>
    <s v="ВКО"/>
    <s v="АО УМЗ"/>
    <n v="941040000097"/>
    <d v="2026-04-30T00:00:00"/>
    <n v="1311380"/>
    <n v="0"/>
    <n v="0"/>
    <n v="1311380"/>
    <x v="13"/>
  </r>
  <r>
    <s v="ПК 241"/>
    <s v="ВКО"/>
    <s v="АО УМЗ"/>
    <n v="941040000097"/>
    <d v="2026-04-30T00:00:00"/>
    <n v="1360227.6"/>
    <n v="10"/>
    <n v="150985.26360000003"/>
    <n v="1209242.3364000001"/>
    <x v="13"/>
  </r>
  <r>
    <s v="А17"/>
    <s v="ВКО"/>
    <s v="Коммунальное государственное учреждение &quot;Усть-Каменогорский строительно-технический колледж&quot; управления образования Восточно-Казахстанской"/>
    <n v="120940016307"/>
    <d v="2026-04-30T00:00:00"/>
    <n v="37290"/>
    <n v="20"/>
    <n v="8278.380000000001"/>
    <n v="29011.62"/>
    <x v="13"/>
  </r>
  <r>
    <s v="А17"/>
    <s v="ВКО"/>
    <s v="АО УМЗ"/>
    <n v="941040000097"/>
    <d v="2026-04-30T00:00:00"/>
    <n v="83520"/>
    <n v="0"/>
    <n v="0"/>
    <n v="83520"/>
    <x v="13"/>
  </r>
  <r>
    <s v="А17"/>
    <s v="ВКО"/>
    <s v="КГКП ясли-сад Балауса-Балғын ООТарбагатайскому району УО ВКО"/>
    <n v="1040005493"/>
    <d v="2026-04-30T00:00:00"/>
    <n v="330854.34000000003"/>
    <n v="20"/>
    <n v="73449.663480000003"/>
    <n v="257404.67652000004"/>
    <x v="13"/>
  </r>
  <r>
    <s v="А17"/>
    <s v="ВКО"/>
    <s v="АО УМЗ"/>
    <n v="941040000097"/>
    <d v="2026-04-30T00:00:00"/>
    <n v="615960"/>
    <n v="10"/>
    <n v="68371.560000000012"/>
    <n v="547588.43999999994"/>
    <x v="13"/>
  </r>
  <r>
    <s v="А17"/>
    <s v="ВКО"/>
    <s v="АО УМЗ"/>
    <n v="941040000097"/>
    <d v="2026-04-30T00:00:00"/>
    <n v="1127108.25"/>
    <n v="0"/>
    <n v="0"/>
    <n v="1127108.25"/>
    <x v="13"/>
  </r>
  <r>
    <s v="ПК 241"/>
    <s v="Актау"/>
    <s v="КГУ &quot;Управление делами акимата Мангистауской области&quot;"/>
    <n v="111240018262"/>
    <d v="2026-04-01T00:00:00"/>
    <n v="1591825"/>
    <n v="20"/>
    <n v="353385.15"/>
    <n v="1238439.8500000001"/>
    <x v="14"/>
  </r>
  <r>
    <s v="ПК 241"/>
    <s v="Атырау"/>
    <s v="КГУ &quot;Школа-гимназия №41 имени Әбіша Кекілбайұлы&quot; отдела образования города Атырау Управления образования Атырауской области&quot;"/>
    <n v="210240021805"/>
    <d v="2026-04-10T00:00:00"/>
    <n v="16996"/>
    <n v="10"/>
    <n v="1886.556"/>
    <n v="15109.444"/>
    <x v="14"/>
  </r>
  <r>
    <s v="ПК 241"/>
    <s v="Атырау"/>
    <s v="КГУ &quot;Средняя общеобразовательная школа №4 имени Ю.А.Гагарина&quot; отдела образования города Атырау Управления образования Атырауской области&quot;"/>
    <n v="10540002065"/>
    <d v="2026-04-10T00:00:00"/>
    <n v="238740.07"/>
    <n v="10"/>
    <n v="26500.147770000003"/>
    <n v="212239.92223"/>
    <x v="14"/>
  </r>
  <r>
    <s v="А17"/>
    <s v="Атырау"/>
    <s v="КГУ &quot;Средняя общеобразовательная школа №4 имени Ю.А.Гагарина&quot; отдела образования города Атырау Управления образования Атырауской области&quot;"/>
    <n v="10540002065"/>
    <d v="2026-04-10T00:00:00"/>
    <n v="66350.259999999995"/>
    <n v="10"/>
    <n v="7364.8788600000007"/>
    <n v="58985.381139999998"/>
    <x v="14"/>
  </r>
  <r>
    <s v="А17"/>
    <s v="Атырау"/>
    <s v="КГУ &quot;Школа-гимназия №41 имени Әбіша Кекілбайұлы&quot; отдела образования города Атырау Управления образования Атырауской области&quot;"/>
    <n v="210240021805"/>
    <d v="2026-04-10T00:00:00"/>
    <n v="94010"/>
    <n v="10"/>
    <n v="10435.11"/>
    <n v="83574.89"/>
    <x v="14"/>
  </r>
  <r>
    <s v="ПК 241"/>
    <s v="Атырау"/>
    <s v="КГУ &quot;Школа-гимназия №41 имени Әбіша Кекілбайұлы&quot; отдела образования города Атырау Управления образования Атырауской области&quot;"/>
    <n v="210240021805"/>
    <d v="2026-04-13T00:00:00"/>
    <n v="73160.160000000003"/>
    <n v="10"/>
    <n v="8120.7777600000009"/>
    <n v="65039.382240000006"/>
    <x v="14"/>
  </r>
  <r>
    <s v="ПК 241"/>
    <s v="Атырау"/>
    <s v="ФИЛИАЛ АО ВОЛКОВГЕОЛОГИЯ ЦОМЭ"/>
    <n v="60241015754"/>
    <d v="2026-04-13T00:00:00"/>
    <n v="213718.39999999999"/>
    <n v="0"/>
    <n v="0"/>
    <n v="213718.39999999999"/>
    <x v="14"/>
  </r>
  <r>
    <s v="ПК 241"/>
    <s v="Атырау"/>
    <s v="КГКП Ясли сад Шолпан"/>
    <n v="50740003276"/>
    <d v="2026-04-17T00:00:00"/>
    <n v="127500"/>
    <n v="0"/>
    <n v="0"/>
    <n v="127500"/>
    <x v="14"/>
  </r>
  <r>
    <s v="ПК 241"/>
    <s v="Актау"/>
    <s v="КГУ &quot;Управление делами акимата Мангистауской области&quot;"/>
    <n v="111240018262"/>
    <d v="2026-04-22T00:00:00"/>
    <n v="440499.56"/>
    <n v="20"/>
    <n v="97790.902320000008"/>
    <n v="342708.65768"/>
    <x v="14"/>
  </r>
  <r>
    <s v="ПК 241"/>
    <s v="Актау"/>
    <s v="КГУ &quot;Управление делами акимата Мангистауской области&quot;"/>
    <n v="111240018262"/>
    <d v="2026-04-22T00:00:00"/>
    <n v="5261481"/>
    <n v="20"/>
    <n v="1168048.7820000001"/>
    <n v="4093432.2179999999"/>
    <x v="14"/>
  </r>
  <r>
    <s v="ПК 241"/>
    <s v="Атырау"/>
    <s v="КГКП &quot;ЯСЛИ-САД №13 &quot;БАЛАПАН&quot; О"/>
    <n v="101040005142"/>
    <d v="2026-04-27T00:00:00"/>
    <n v="89320"/>
    <n v="0"/>
    <n v="0"/>
    <n v="89320"/>
    <x v="14"/>
  </r>
  <r>
    <m/>
    <m/>
    <m/>
    <m/>
    <m/>
    <m/>
    <m/>
    <n v="0"/>
    <n v="0"/>
    <x v="15"/>
  </r>
  <r>
    <m/>
    <m/>
    <m/>
    <m/>
    <m/>
    <m/>
    <m/>
    <n v="0"/>
    <n v="0"/>
    <x v="15"/>
  </r>
  <r>
    <m/>
    <m/>
    <m/>
    <m/>
    <m/>
    <m/>
    <m/>
    <n v="0"/>
    <n v="0"/>
    <x v="15"/>
  </r>
  <r>
    <m/>
    <m/>
    <m/>
    <m/>
    <m/>
    <m/>
    <m/>
    <n v="0"/>
    <n v="0"/>
    <x v="15"/>
  </r>
  <r>
    <m/>
    <m/>
    <m/>
    <m/>
    <m/>
    <m/>
    <m/>
    <n v="0"/>
    <n v="0"/>
    <x v="15"/>
  </r>
  <r>
    <m/>
    <m/>
    <m/>
    <m/>
    <m/>
    <m/>
    <m/>
    <n v="0"/>
    <n v="0"/>
    <x v="15"/>
  </r>
  <r>
    <m/>
    <m/>
    <m/>
    <m/>
    <m/>
    <m/>
    <m/>
    <m/>
    <m/>
    <x v="15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m/>
    <m/>
    <m/>
    <m/>
    <m/>
    <m/>
    <n v="0"/>
    <n v="0"/>
    <x v="0"/>
  </r>
  <r>
    <m/>
    <m/>
    <m/>
    <m/>
    <m/>
    <m/>
    <n v="0"/>
    <n v="0"/>
    <x v="0"/>
  </r>
  <r>
    <m/>
    <m/>
    <m/>
    <m/>
    <m/>
    <m/>
    <n v="0"/>
    <n v="0"/>
    <x v="0"/>
  </r>
  <r>
    <m/>
    <m/>
    <m/>
    <m/>
    <m/>
    <m/>
    <n v="0"/>
    <n v="0"/>
    <x v="0"/>
  </r>
  <r>
    <m/>
    <m/>
    <m/>
    <m/>
    <m/>
    <m/>
    <n v="0"/>
    <n v="0"/>
    <x v="0"/>
  </r>
  <r>
    <m/>
    <m/>
    <m/>
    <m/>
    <m/>
    <m/>
    <n v="0"/>
    <n v="0"/>
    <x v="0"/>
  </r>
  <r>
    <m/>
    <m/>
    <m/>
    <m/>
    <m/>
    <m/>
    <n v="0"/>
    <n v="0"/>
    <x v="0"/>
  </r>
  <r>
    <m/>
    <m/>
    <m/>
    <m/>
    <m/>
    <m/>
    <n v="0"/>
    <n v="0"/>
    <x v="0"/>
  </r>
  <r>
    <m/>
    <m/>
    <m/>
    <m/>
    <m/>
    <m/>
    <n v="0"/>
    <n v="0"/>
    <x v="0"/>
  </r>
  <r>
    <m/>
    <m/>
    <m/>
    <m/>
    <m/>
    <m/>
    <n v="0"/>
    <n v="0"/>
    <x v="0"/>
  </r>
  <r>
    <m/>
    <m/>
    <m/>
    <m/>
    <m/>
    <m/>
    <n v="0"/>
    <n v="0"/>
    <x v="0"/>
  </r>
  <r>
    <m/>
    <m/>
    <m/>
    <m/>
    <m/>
    <m/>
    <n v="0"/>
    <n v="0"/>
    <x v="0"/>
  </r>
  <r>
    <m/>
    <m/>
    <m/>
    <m/>
    <m/>
    <m/>
    <n v="0"/>
    <n v="0"/>
    <x v="0"/>
  </r>
  <r>
    <m/>
    <m/>
    <m/>
    <m/>
    <m/>
    <m/>
    <n v="0"/>
    <n v="0"/>
    <x v="0"/>
  </r>
  <r>
    <m/>
    <m/>
    <m/>
    <m/>
    <m/>
    <m/>
    <n v="0"/>
    <n v="0"/>
    <x v="0"/>
  </r>
  <r>
    <m/>
    <m/>
    <m/>
    <m/>
    <m/>
    <m/>
    <n v="0"/>
    <n v="0"/>
    <x v="0"/>
  </r>
  <r>
    <m/>
    <m/>
    <m/>
    <m/>
    <m/>
    <m/>
    <n v="0"/>
    <n v="0"/>
    <x v="0"/>
  </r>
  <r>
    <m/>
    <m/>
    <m/>
    <m/>
    <m/>
    <m/>
    <n v="0"/>
    <n v="0"/>
    <x v="0"/>
  </r>
  <r>
    <m/>
    <m/>
    <m/>
    <m/>
    <m/>
    <m/>
    <n v="0"/>
    <n v="0"/>
    <x v="0"/>
  </r>
  <r>
    <m/>
    <m/>
    <m/>
    <m/>
    <m/>
    <m/>
    <n v="0"/>
    <n v="0"/>
    <x v="0"/>
  </r>
  <r>
    <m/>
    <m/>
    <m/>
    <m/>
    <m/>
    <m/>
    <n v="0"/>
    <n v="0"/>
    <x v="0"/>
  </r>
  <r>
    <m/>
    <m/>
    <m/>
    <m/>
    <m/>
    <m/>
    <n v="0"/>
    <n v="0"/>
    <x v="0"/>
  </r>
  <r>
    <m/>
    <m/>
    <m/>
    <m/>
    <m/>
    <m/>
    <n v="0"/>
    <n v="0"/>
    <x v="0"/>
  </r>
  <r>
    <m/>
    <m/>
    <m/>
    <m/>
    <m/>
    <m/>
    <n v="0"/>
    <n v="0"/>
    <x v="0"/>
  </r>
  <r>
    <m/>
    <m/>
    <m/>
    <m/>
    <m/>
    <m/>
    <n v="0"/>
    <n v="0"/>
    <x v="0"/>
  </r>
  <r>
    <m/>
    <m/>
    <m/>
    <m/>
    <m/>
    <m/>
    <n v="0"/>
    <n v="0"/>
    <x v="0"/>
  </r>
  <r>
    <m/>
    <m/>
    <m/>
    <m/>
    <m/>
    <m/>
    <n v="0"/>
    <n v="0"/>
    <x v="0"/>
  </r>
  <r>
    <m/>
    <m/>
    <m/>
    <m/>
    <m/>
    <m/>
    <n v="0"/>
    <n v="0"/>
    <x v="0"/>
  </r>
  <r>
    <m/>
    <m/>
    <m/>
    <m/>
    <m/>
    <m/>
    <n v="0"/>
    <n v="0"/>
    <x v="0"/>
  </r>
  <r>
    <m/>
    <m/>
    <m/>
    <m/>
    <m/>
    <m/>
    <n v="0"/>
    <n v="0"/>
    <x v="0"/>
  </r>
  <r>
    <m/>
    <m/>
    <m/>
    <m/>
    <m/>
    <m/>
    <n v="0"/>
    <n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2D9CB5-EB4D-4652-A256-FB81BA843618}" name="Сводная таблица3" cacheId="0" applyNumberFormats="0" applyBorderFormats="0" applyFontFormats="0" applyPatternFormats="0" applyAlignmentFormats="0" applyWidthHeightFormats="1" dataCaption="Значения" updatedVersion="7" minRefreshableVersion="3" useAutoFormatting="1" itemPrintTitles="1" createdVersion="7" indent="0" outline="1" outlineData="1" multipleFieldFilters="0">
  <location ref="P3:R15" firstHeaderRow="0" firstDataRow="1" firstDataCol="1"/>
  <pivotFields count="10">
    <pivotField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axis="axisRow" showAll="0">
      <items count="12">
        <item x="3"/>
        <item x="4"/>
        <item x="5"/>
        <item x="9"/>
        <item x="8"/>
        <item x="6"/>
        <item x="0"/>
        <item x="7"/>
        <item x="2"/>
        <item x="1"/>
        <item x="10"/>
        <item t="default"/>
      </items>
    </pivotField>
  </pivotFields>
  <rowFields count="1">
    <field x="9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-2"/>
  </colFields>
  <colItems count="2">
    <i>
      <x/>
    </i>
    <i i="1">
      <x v="1"/>
    </i>
  </colItems>
  <dataFields count="2">
    <dataField name="Сумма по полю Сумма" fld="5" baseField="0" baseItem="0"/>
    <dataField name="Сумма по полю Чистая сумма" fld="8" baseField="0" baseItem="0"/>
  </dataFields>
  <formats count="12">
    <format dxfId="29">
      <pivotArea type="all" dataOnly="0" outline="0" fieldPosition="0"/>
    </format>
    <format dxfId="28">
      <pivotArea outline="0" collapsedLevelsAreSubtotals="1" fieldPosition="0"/>
    </format>
    <format dxfId="27">
      <pivotArea field="9" type="button" dataOnly="0" labelOnly="1" outline="0" axis="axisRow" fieldPosition="0"/>
    </format>
    <format dxfId="26">
      <pivotArea dataOnly="0" labelOnly="1" fieldPosition="0">
        <references count="1">
          <reference field="9" count="0"/>
        </references>
      </pivotArea>
    </format>
    <format dxfId="25">
      <pivotArea dataOnly="0" labelOnly="1" grandRow="1" outline="0" fieldPosition="0"/>
    </format>
    <format dxfId="2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3">
      <pivotArea type="all" dataOnly="0" outline="0" fieldPosition="0"/>
    </format>
    <format dxfId="22">
      <pivotArea outline="0" collapsedLevelsAreSubtotals="1" fieldPosition="0"/>
    </format>
    <format dxfId="21">
      <pivotArea field="9" type="button" dataOnly="0" labelOnly="1" outline="0" axis="axisRow" fieldPosition="0"/>
    </format>
    <format dxfId="20">
      <pivotArea dataOnly="0" labelOnly="1" fieldPosition="0">
        <references count="1">
          <reference field="9" count="0"/>
        </references>
      </pivotArea>
    </format>
    <format dxfId="19">
      <pivotArea dataOnly="0" labelOnly="1" grandRow="1" outline="0" fieldPosition="0"/>
    </format>
    <format dxfId="1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563AA6-C9F4-4890-8876-E52B3A7DE85C}" name="Сводная таблица2" cacheId="1" applyNumberFormats="0" applyBorderFormats="0" applyFontFormats="0" applyPatternFormats="0" applyAlignmentFormats="0" applyWidthHeightFormats="1" dataCaption="Значения" updatedVersion="7" minRefreshableVersion="3" useAutoFormatting="1" itemPrintTitles="1" createdVersion="7" indent="0" outline="1" outlineData="1" multipleFieldFilters="0">
  <location ref="N3:P20" firstHeaderRow="0" firstDataRow="1" firstDataCol="1"/>
  <pivotFields count="10">
    <pivotField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axis="axisRow" showAll="0">
      <items count="17">
        <item x="9"/>
        <item x="2"/>
        <item x="8"/>
        <item x="12"/>
        <item x="13"/>
        <item x="4"/>
        <item x="7"/>
        <item x="10"/>
        <item x="6"/>
        <item x="3"/>
        <item x="0"/>
        <item x="11"/>
        <item x="5"/>
        <item x="1"/>
        <item x="15"/>
        <item x="14"/>
        <item t="default"/>
      </items>
    </pivotField>
  </pivotFields>
  <rowFields count="1">
    <field x="9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Fields count="1">
    <field x="-2"/>
  </colFields>
  <colItems count="2">
    <i>
      <x/>
    </i>
    <i i="1">
      <x v="1"/>
    </i>
  </colItems>
  <dataFields count="2">
    <dataField name="Сумма по полю Сумма" fld="5" baseField="0" baseItem="0"/>
    <dataField name="Сумма по полю Чистая сумма" fld="8" baseField="0" baseItem="0"/>
  </dataFields>
  <formats count="12">
    <format dxfId="17">
      <pivotArea type="all" dataOnly="0" outline="0" fieldPosition="0"/>
    </format>
    <format dxfId="16">
      <pivotArea outline="0" collapsedLevelsAreSubtotals="1" fieldPosition="0"/>
    </format>
    <format dxfId="15">
      <pivotArea field="9" type="button" dataOnly="0" labelOnly="1" outline="0" axis="axisRow" fieldPosition="0"/>
    </format>
    <format dxfId="14">
      <pivotArea dataOnly="0" labelOnly="1" fieldPosition="0">
        <references count="1">
          <reference field="9" count="0"/>
        </references>
      </pivotArea>
    </format>
    <format dxfId="13">
      <pivotArea dataOnly="0" labelOnly="1" grandRow="1" outline="0" fieldPosition="0"/>
    </format>
    <format dxfId="1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1">
      <pivotArea type="all" dataOnly="0" outline="0" fieldPosition="0"/>
    </format>
    <format dxfId="10">
      <pivotArea outline="0" collapsedLevelsAreSubtotals="1" fieldPosition="0"/>
    </format>
    <format dxfId="9">
      <pivotArea field="9" type="button" dataOnly="0" labelOnly="1" outline="0" axis="axisRow" fieldPosition="0"/>
    </format>
    <format dxfId="8">
      <pivotArea dataOnly="0" labelOnly="1" fieldPosition="0">
        <references count="1">
          <reference field="9" count="0"/>
        </references>
      </pivotArea>
    </format>
    <format dxfId="7">
      <pivotArea dataOnly="0" labelOnly="1" grandRow="1" outline="0" fieldPosition="0"/>
    </format>
    <format dxfId="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011D56-DA2D-47C1-BA04-A47801B02AB6}" name="Сводная таблица5" cacheId="2" applyNumberFormats="0" applyBorderFormats="0" applyFontFormats="0" applyPatternFormats="0" applyAlignmentFormats="0" applyWidthHeightFormats="1" dataCaption="Значения" updatedVersion="7" minRefreshableVersion="3" useAutoFormatting="1" itemPrintTitles="1" createdVersion="7" indent="0" outline="1" outlineData="1" multipleFieldFilters="0">
  <location ref="N2:P4" firstHeaderRow="0" firstDataRow="1" firstDataCol="1"/>
  <pivotFields count="9">
    <pivotField showAll="0"/>
    <pivotField showAll="0"/>
    <pivotField showAll="0"/>
    <pivotField showAll="0"/>
    <pivotField dataField="1" showAll="0"/>
    <pivotField showAll="0"/>
    <pivotField numFmtId="2" showAll="0"/>
    <pivotField dataField="1" numFmtId="2" showAll="0"/>
    <pivotField axis="axisRow" showAll="0">
      <items count="31">
        <item m="1" x="9"/>
        <item m="1" x="7"/>
        <item m="1" x="10"/>
        <item m="1" x="26"/>
        <item m="1" x="28"/>
        <item m="1" x="17"/>
        <item m="1" x="15"/>
        <item m="1" x="5"/>
        <item m="1" x="1"/>
        <item m="1" x="21"/>
        <item m="1" x="25"/>
        <item m="1" x="24"/>
        <item m="1" x="4"/>
        <item m="1" x="8"/>
        <item x="0"/>
        <item m="1" x="22"/>
        <item m="1" x="3"/>
        <item m="1" x="12"/>
        <item m="1" x="27"/>
        <item m="1" x="20"/>
        <item m="1" x="16"/>
        <item m="1" x="19"/>
        <item m="1" x="18"/>
        <item m="1" x="6"/>
        <item m="1" x="11"/>
        <item m="1" x="14"/>
        <item m="1" x="2"/>
        <item m="1" x="29"/>
        <item m="1" x="13"/>
        <item m="1" x="23"/>
        <item t="default"/>
      </items>
    </pivotField>
  </pivotFields>
  <rowFields count="1">
    <field x="8"/>
  </rowFields>
  <rowItems count="2">
    <i>
      <x v="14"/>
    </i>
    <i t="grand">
      <x/>
    </i>
  </rowItems>
  <colFields count="1">
    <field x="-2"/>
  </colFields>
  <colItems count="2">
    <i>
      <x/>
    </i>
    <i i="1">
      <x v="1"/>
    </i>
  </colItems>
  <dataFields count="2">
    <dataField name="Сумма по полю Сумма" fld="4" baseField="0" baseItem="0"/>
    <dataField name="Сумма по полю Чистая сумма" fld="7" baseField="0" baseItem="0"/>
  </dataFields>
  <formats count="2">
    <format dxfId="1">
      <pivotArea outline="0" collapsedLevelsAreSubtotals="1" fieldPosition="0"/>
    </format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C8FCD-A300-4958-BD1B-68A86B96D4AB}">
  <dimension ref="A1:R26"/>
  <sheetViews>
    <sheetView topLeftCell="A4" workbookViewId="0">
      <selection activeCell="H19" sqref="H19"/>
    </sheetView>
  </sheetViews>
  <sheetFormatPr defaultRowHeight="14.5"/>
  <cols>
    <col min="1" max="1" width="7.90625" customWidth="1"/>
    <col min="2" max="2" width="3.7265625" customWidth="1"/>
    <col min="5" max="5" width="46.54296875" customWidth="1"/>
    <col min="6" max="6" width="17.1796875" customWidth="1"/>
    <col min="7" max="7" width="11.26953125" bestFit="1" customWidth="1"/>
    <col min="8" max="8" width="13.1796875" style="40" bestFit="1" customWidth="1"/>
    <col min="10" max="10" width="12.453125" bestFit="1" customWidth="1"/>
    <col min="11" max="11" width="13.453125" bestFit="1" customWidth="1"/>
    <col min="12" max="12" width="23.26953125" style="93" bestFit="1" customWidth="1"/>
    <col min="13" max="13" width="12.1796875" bestFit="1" customWidth="1"/>
    <col min="16" max="16" width="23.26953125" bestFit="1" customWidth="1"/>
    <col min="17" max="17" width="22.54296875" bestFit="1" customWidth="1"/>
    <col min="18" max="18" width="29" bestFit="1" customWidth="1"/>
    <col min="19" max="26" width="12" bestFit="1" customWidth="1"/>
    <col min="27" max="37" width="13.1796875" bestFit="1" customWidth="1"/>
    <col min="38" max="41" width="14.54296875" bestFit="1" customWidth="1"/>
    <col min="42" max="42" width="13.453125" bestFit="1" customWidth="1"/>
  </cols>
  <sheetData>
    <row r="1" spans="1:18">
      <c r="A1" s="94" t="s">
        <v>0</v>
      </c>
      <c r="B1" s="94"/>
      <c r="C1" s="94" t="s">
        <v>55</v>
      </c>
      <c r="D1" s="94" t="s">
        <v>1</v>
      </c>
      <c r="E1" s="94" t="s">
        <v>2</v>
      </c>
      <c r="F1" s="131" t="s">
        <v>3</v>
      </c>
      <c r="G1" s="94" t="s">
        <v>4</v>
      </c>
      <c r="H1" s="106" t="s">
        <v>5</v>
      </c>
      <c r="I1" s="94" t="s">
        <v>6</v>
      </c>
      <c r="J1" s="97" t="s">
        <v>7</v>
      </c>
      <c r="K1" s="95" t="s">
        <v>8</v>
      </c>
      <c r="L1" s="94" t="s">
        <v>9</v>
      </c>
      <c r="M1" s="80" t="s">
        <v>10</v>
      </c>
    </row>
    <row r="2" spans="1:18" ht="35.5">
      <c r="A2" s="6">
        <v>1</v>
      </c>
      <c r="B2" s="6"/>
      <c r="C2" s="196" t="s">
        <v>62</v>
      </c>
      <c r="D2" s="197" t="s">
        <v>76</v>
      </c>
      <c r="E2" s="198" t="s">
        <v>178</v>
      </c>
      <c r="F2" s="199">
        <v>50940005943</v>
      </c>
      <c r="G2" s="200">
        <v>46136</v>
      </c>
      <c r="H2" s="201">
        <v>235719</v>
      </c>
      <c r="I2" s="181">
        <v>10</v>
      </c>
      <c r="J2" s="169">
        <f t="shared" ref="J2:J26" si="0">((H2*I2)/100)*1.11</f>
        <v>26164.809000000005</v>
      </c>
      <c r="K2" s="166">
        <f t="shared" ref="K2:K26" si="1">H2-J2</f>
        <v>209554.19099999999</v>
      </c>
      <c r="L2" s="178" t="s">
        <v>59</v>
      </c>
    </row>
    <row r="3" spans="1:18" ht="35.5">
      <c r="A3" s="6">
        <v>2</v>
      </c>
      <c r="B3" s="6"/>
      <c r="C3" s="196" t="s">
        <v>65</v>
      </c>
      <c r="D3" s="197" t="s">
        <v>76</v>
      </c>
      <c r="E3" s="198" t="s">
        <v>90</v>
      </c>
      <c r="F3" s="199">
        <v>970940002138</v>
      </c>
      <c r="G3" s="200">
        <v>46135</v>
      </c>
      <c r="H3" s="201">
        <v>236291</v>
      </c>
      <c r="I3" s="181">
        <v>10</v>
      </c>
      <c r="J3" s="169">
        <f t="shared" si="0"/>
        <v>26228.300999999999</v>
      </c>
      <c r="K3" s="166">
        <f t="shared" si="1"/>
        <v>210062.69899999999</v>
      </c>
      <c r="L3" s="177" t="s">
        <v>54</v>
      </c>
      <c r="P3" s="213" t="s">
        <v>42</v>
      </c>
      <c r="Q3" s="60" t="s">
        <v>48</v>
      </c>
      <c r="R3" s="60" t="s">
        <v>45</v>
      </c>
    </row>
    <row r="4" spans="1:18" ht="24">
      <c r="A4" s="6">
        <v>3</v>
      </c>
      <c r="B4" s="6"/>
      <c r="C4" s="196" t="s">
        <v>65</v>
      </c>
      <c r="D4" s="197" t="s">
        <v>61</v>
      </c>
      <c r="E4" s="198" t="s">
        <v>74</v>
      </c>
      <c r="F4" s="206">
        <v>990340005144</v>
      </c>
      <c r="G4" s="200">
        <v>46119</v>
      </c>
      <c r="H4" s="201">
        <v>74080</v>
      </c>
      <c r="I4" s="204">
        <v>20</v>
      </c>
      <c r="J4" s="169">
        <f t="shared" si="0"/>
        <v>16445.760000000002</v>
      </c>
      <c r="K4" s="166">
        <f t="shared" si="1"/>
        <v>57634.239999999998</v>
      </c>
      <c r="L4" s="183" t="s">
        <v>236</v>
      </c>
      <c r="P4" s="214" t="s">
        <v>54</v>
      </c>
      <c r="Q4" s="60">
        <v>236291</v>
      </c>
      <c r="R4" s="60">
        <v>210062.69899999999</v>
      </c>
    </row>
    <row r="5" spans="1:18" ht="24">
      <c r="A5" s="6">
        <v>4</v>
      </c>
      <c r="B5" s="6"/>
      <c r="C5" s="196" t="s">
        <v>65</v>
      </c>
      <c r="D5" s="197" t="s">
        <v>61</v>
      </c>
      <c r="E5" s="198" t="s">
        <v>199</v>
      </c>
      <c r="F5" s="206">
        <v>990440003002</v>
      </c>
      <c r="G5" s="200">
        <v>46142</v>
      </c>
      <c r="H5" s="201">
        <v>1434177</v>
      </c>
      <c r="I5" s="212">
        <v>10</v>
      </c>
      <c r="J5" s="169">
        <f t="shared" si="0"/>
        <v>159193.64700000003</v>
      </c>
      <c r="K5" s="166">
        <f t="shared" si="1"/>
        <v>1274983.3529999999</v>
      </c>
      <c r="L5" s="177" t="s">
        <v>13</v>
      </c>
      <c r="P5" s="214" t="s">
        <v>59</v>
      </c>
      <c r="Q5" s="60">
        <v>235719</v>
      </c>
      <c r="R5" s="60">
        <v>209554.19099999999</v>
      </c>
    </row>
    <row r="6" spans="1:18" ht="24">
      <c r="A6" s="6">
        <v>5</v>
      </c>
      <c r="B6" s="6"/>
      <c r="C6" s="196" t="s">
        <v>65</v>
      </c>
      <c r="D6" s="197" t="s">
        <v>61</v>
      </c>
      <c r="E6" s="198" t="s">
        <v>194</v>
      </c>
      <c r="F6" s="206">
        <v>990440002916</v>
      </c>
      <c r="G6" s="200">
        <v>46141</v>
      </c>
      <c r="H6" s="201">
        <v>251247</v>
      </c>
      <c r="I6" s="211">
        <v>20</v>
      </c>
      <c r="J6" s="169">
        <f t="shared" si="0"/>
        <v>55776.83400000001</v>
      </c>
      <c r="K6" s="166">
        <f t="shared" si="1"/>
        <v>195470.166</v>
      </c>
      <c r="L6" s="177" t="s">
        <v>238</v>
      </c>
      <c r="P6" s="214" t="s">
        <v>238</v>
      </c>
      <c r="Q6" s="60">
        <v>1283168</v>
      </c>
      <c r="R6" s="60">
        <v>998304.70399999991</v>
      </c>
    </row>
    <row r="7" spans="1:18" ht="24">
      <c r="A7" s="6">
        <v>6</v>
      </c>
      <c r="B7" s="6"/>
      <c r="C7" s="196" t="s">
        <v>65</v>
      </c>
      <c r="D7" s="197" t="s">
        <v>61</v>
      </c>
      <c r="E7" s="198" t="s">
        <v>194</v>
      </c>
      <c r="F7" s="206">
        <v>990440002916</v>
      </c>
      <c r="G7" s="200">
        <v>46142</v>
      </c>
      <c r="H7" s="201">
        <v>133422</v>
      </c>
      <c r="I7" s="212">
        <v>20</v>
      </c>
      <c r="J7" s="169">
        <f t="shared" si="0"/>
        <v>29619.684000000005</v>
      </c>
      <c r="K7" s="166">
        <f t="shared" si="1"/>
        <v>103802.31599999999</v>
      </c>
      <c r="L7" s="177" t="s">
        <v>238</v>
      </c>
      <c r="P7" s="214" t="s">
        <v>19</v>
      </c>
      <c r="Q7" s="60">
        <v>2298607</v>
      </c>
      <c r="R7" s="60">
        <v>1897685.3229999999</v>
      </c>
    </row>
    <row r="8" spans="1:18" ht="24">
      <c r="A8" s="6">
        <v>7</v>
      </c>
      <c r="B8" s="6"/>
      <c r="C8" s="196" t="s">
        <v>65</v>
      </c>
      <c r="D8" s="197" t="s">
        <v>61</v>
      </c>
      <c r="E8" s="198" t="s">
        <v>223</v>
      </c>
      <c r="F8" s="206">
        <v>961140000718</v>
      </c>
      <c r="G8" s="200">
        <v>46121</v>
      </c>
      <c r="H8" s="201">
        <v>2086503</v>
      </c>
      <c r="I8" s="204">
        <v>15</v>
      </c>
      <c r="J8" s="169">
        <f t="shared" si="0"/>
        <v>347402.74950000003</v>
      </c>
      <c r="K8" s="166">
        <f t="shared" si="1"/>
        <v>1739100.2505000001</v>
      </c>
      <c r="L8" s="177" t="s">
        <v>237</v>
      </c>
      <c r="P8" s="214" t="s">
        <v>13</v>
      </c>
      <c r="Q8" s="60">
        <v>1434177</v>
      </c>
      <c r="R8" s="60">
        <v>1274983.3529999999</v>
      </c>
    </row>
    <row r="9" spans="1:18" ht="24">
      <c r="A9" s="6">
        <v>8</v>
      </c>
      <c r="B9" s="6"/>
      <c r="C9" s="196" t="s">
        <v>65</v>
      </c>
      <c r="D9" s="197" t="s">
        <v>61</v>
      </c>
      <c r="E9" s="198" t="s">
        <v>225</v>
      </c>
      <c r="F9" s="206">
        <v>961140001092</v>
      </c>
      <c r="G9" s="200">
        <v>46142</v>
      </c>
      <c r="H9" s="201">
        <v>321247</v>
      </c>
      <c r="I9" s="212">
        <v>20</v>
      </c>
      <c r="J9" s="169">
        <f t="shared" si="0"/>
        <v>71316.834000000003</v>
      </c>
      <c r="K9" s="166">
        <f t="shared" si="1"/>
        <v>249930.166</v>
      </c>
      <c r="L9" s="177" t="s">
        <v>238</v>
      </c>
      <c r="P9" s="214" t="s">
        <v>236</v>
      </c>
      <c r="Q9" s="60">
        <v>74080</v>
      </c>
      <c r="R9" s="60">
        <v>57634.239999999998</v>
      </c>
    </row>
    <row r="10" spans="1:18" ht="24">
      <c r="A10" s="6">
        <v>9</v>
      </c>
      <c r="B10" s="6"/>
      <c r="C10" s="196" t="s">
        <v>65</v>
      </c>
      <c r="D10" s="197" t="s">
        <v>61</v>
      </c>
      <c r="E10" s="198" t="s">
        <v>225</v>
      </c>
      <c r="F10" s="206">
        <v>961140001092</v>
      </c>
      <c r="G10" s="200">
        <v>46142</v>
      </c>
      <c r="H10" s="201">
        <v>321252</v>
      </c>
      <c r="I10" s="212">
        <v>20</v>
      </c>
      <c r="J10" s="169">
        <f t="shared" si="0"/>
        <v>71317.944000000003</v>
      </c>
      <c r="K10" s="166">
        <f t="shared" si="1"/>
        <v>249934.05599999998</v>
      </c>
      <c r="L10" s="177" t="s">
        <v>238</v>
      </c>
      <c r="P10" s="214" t="s">
        <v>234</v>
      </c>
      <c r="Q10" s="60">
        <v>71205</v>
      </c>
      <c r="R10" s="60">
        <v>71205</v>
      </c>
    </row>
    <row r="11" spans="1:18" ht="24">
      <c r="A11" s="6">
        <v>10</v>
      </c>
      <c r="B11" s="6"/>
      <c r="C11" s="196" t="s">
        <v>65</v>
      </c>
      <c r="D11" s="197" t="s">
        <v>61</v>
      </c>
      <c r="E11" s="198" t="s">
        <v>196</v>
      </c>
      <c r="F11" s="206">
        <v>990440002926</v>
      </c>
      <c r="G11" s="200">
        <v>46142</v>
      </c>
      <c r="H11" s="201">
        <v>2094003</v>
      </c>
      <c r="I11" s="212">
        <v>15</v>
      </c>
      <c r="J11" s="169">
        <f t="shared" si="0"/>
        <v>348651.49950000003</v>
      </c>
      <c r="K11" s="166">
        <f t="shared" si="1"/>
        <v>1745351.5005000001</v>
      </c>
      <c r="L11" s="177" t="s">
        <v>237</v>
      </c>
      <c r="P11" s="214" t="s">
        <v>237</v>
      </c>
      <c r="Q11" s="60">
        <v>4180506</v>
      </c>
      <c r="R11" s="60">
        <v>3484451.7510000002</v>
      </c>
    </row>
    <row r="12" spans="1:18" ht="47">
      <c r="A12" s="6">
        <v>11</v>
      </c>
      <c r="B12" s="6"/>
      <c r="C12" s="196" t="s">
        <v>65</v>
      </c>
      <c r="D12" s="197" t="s">
        <v>61</v>
      </c>
      <c r="E12" s="198" t="s">
        <v>140</v>
      </c>
      <c r="F12" s="206">
        <v>990440003835</v>
      </c>
      <c r="G12" s="200">
        <v>46118</v>
      </c>
      <c r="H12" s="201">
        <v>256000</v>
      </c>
      <c r="I12" s="202">
        <v>20</v>
      </c>
      <c r="J12" s="169">
        <f t="shared" si="0"/>
        <v>56832.000000000007</v>
      </c>
      <c r="K12" s="166">
        <f t="shared" si="1"/>
        <v>199168</v>
      </c>
      <c r="L12" s="152" t="s">
        <v>238</v>
      </c>
      <c r="P12" s="214" t="s">
        <v>235</v>
      </c>
      <c r="Q12" s="60">
        <v>73249</v>
      </c>
      <c r="R12" s="60">
        <v>65118.360999999997</v>
      </c>
    </row>
    <row r="13" spans="1:18" ht="35.5">
      <c r="A13" s="6">
        <v>12</v>
      </c>
      <c r="B13" s="6"/>
      <c r="C13" s="196" t="s">
        <v>65</v>
      </c>
      <c r="D13" s="197" t="s">
        <v>64</v>
      </c>
      <c r="E13" s="198" t="s">
        <v>215</v>
      </c>
      <c r="F13" s="199">
        <v>240940014605</v>
      </c>
      <c r="G13" s="200">
        <v>46142</v>
      </c>
      <c r="H13" s="201">
        <v>767998</v>
      </c>
      <c r="I13" s="42">
        <v>30</v>
      </c>
      <c r="J13" s="169">
        <f t="shared" si="0"/>
        <v>255743.334</v>
      </c>
      <c r="K13" s="166">
        <f t="shared" si="1"/>
        <v>512254.66599999997</v>
      </c>
      <c r="L13" s="152" t="s">
        <v>227</v>
      </c>
      <c r="P13" s="214" t="s">
        <v>227</v>
      </c>
      <c r="Q13" s="60">
        <v>920556</v>
      </c>
      <c r="R13" s="60">
        <v>650660.16599999997</v>
      </c>
    </row>
    <row r="14" spans="1:18" ht="35.5">
      <c r="A14" s="6">
        <v>13</v>
      </c>
      <c r="B14" s="6"/>
      <c r="C14" s="196" t="s">
        <v>65</v>
      </c>
      <c r="D14" s="197" t="s">
        <v>68</v>
      </c>
      <c r="E14" s="198" t="s">
        <v>132</v>
      </c>
      <c r="F14" s="199">
        <v>210240021805</v>
      </c>
      <c r="G14" s="200">
        <v>46122</v>
      </c>
      <c r="H14" s="201">
        <v>73249</v>
      </c>
      <c r="I14" s="181">
        <v>10</v>
      </c>
      <c r="J14" s="169">
        <f t="shared" si="0"/>
        <v>8130.6390000000001</v>
      </c>
      <c r="K14" s="166">
        <f t="shared" si="1"/>
        <v>65118.360999999997</v>
      </c>
      <c r="L14" s="180" t="s">
        <v>235</v>
      </c>
      <c r="P14" s="214" t="s">
        <v>43</v>
      </c>
      <c r="Q14" s="60"/>
      <c r="R14" s="60"/>
    </row>
    <row r="15" spans="1:18" ht="47">
      <c r="A15" s="6">
        <v>14</v>
      </c>
      <c r="B15" s="6"/>
      <c r="C15" s="196" t="s">
        <v>65</v>
      </c>
      <c r="D15" s="197" t="s">
        <v>79</v>
      </c>
      <c r="E15" s="198" t="s">
        <v>224</v>
      </c>
      <c r="F15" s="199">
        <v>30240002622</v>
      </c>
      <c r="G15" s="200">
        <v>46141</v>
      </c>
      <c r="H15" s="201">
        <v>38280</v>
      </c>
      <c r="I15" s="181">
        <v>10</v>
      </c>
      <c r="J15" s="169">
        <f t="shared" si="0"/>
        <v>4249.08</v>
      </c>
      <c r="K15" s="166">
        <f t="shared" si="1"/>
        <v>34030.92</v>
      </c>
      <c r="L15" s="177" t="s">
        <v>19</v>
      </c>
      <c r="P15" s="214" t="s">
        <v>44</v>
      </c>
      <c r="Q15" s="60">
        <v>10807558</v>
      </c>
      <c r="R15" s="60">
        <v>8919659.7879999988</v>
      </c>
    </row>
    <row r="16" spans="1:18" ht="47">
      <c r="A16" s="6">
        <v>15</v>
      </c>
      <c r="B16" s="6"/>
      <c r="C16" s="196" t="s">
        <v>65</v>
      </c>
      <c r="D16" s="197" t="s">
        <v>79</v>
      </c>
      <c r="E16" s="198" t="s">
        <v>224</v>
      </c>
      <c r="F16" s="199">
        <v>30240002622</v>
      </c>
      <c r="G16" s="200">
        <v>46141</v>
      </c>
      <c r="H16" s="201">
        <v>281249</v>
      </c>
      <c r="I16" s="177">
        <v>10</v>
      </c>
      <c r="J16" s="169">
        <f t="shared" si="0"/>
        <v>31218.639000000003</v>
      </c>
      <c r="K16" s="166">
        <f t="shared" si="1"/>
        <v>250030.361</v>
      </c>
      <c r="L16" s="177" t="s">
        <v>19</v>
      </c>
    </row>
    <row r="17" spans="1:12" ht="24">
      <c r="A17" s="6">
        <v>16</v>
      </c>
      <c r="B17" s="6"/>
      <c r="C17" s="196" t="s">
        <v>65</v>
      </c>
      <c r="D17" s="197" t="s">
        <v>79</v>
      </c>
      <c r="E17" s="198" t="s">
        <v>84</v>
      </c>
      <c r="F17" s="199">
        <v>130840013670</v>
      </c>
      <c r="G17" s="200">
        <v>46122</v>
      </c>
      <c r="H17" s="201">
        <v>599400</v>
      </c>
      <c r="I17" s="181">
        <v>10</v>
      </c>
      <c r="J17" s="169">
        <f t="shared" si="0"/>
        <v>66533.400000000009</v>
      </c>
      <c r="K17" s="166">
        <f t="shared" si="1"/>
        <v>532866.6</v>
      </c>
      <c r="L17" s="177" t="s">
        <v>19</v>
      </c>
    </row>
    <row r="18" spans="1:12" ht="47">
      <c r="A18" s="6">
        <v>17</v>
      </c>
      <c r="B18" s="6"/>
      <c r="C18" s="196" t="s">
        <v>65</v>
      </c>
      <c r="D18" s="197" t="s">
        <v>79</v>
      </c>
      <c r="E18" s="198" t="s">
        <v>187</v>
      </c>
      <c r="F18" s="199">
        <v>40540004641</v>
      </c>
      <c r="G18" s="200">
        <v>46141</v>
      </c>
      <c r="H18" s="201">
        <v>1313300</v>
      </c>
      <c r="I18" s="184">
        <v>20</v>
      </c>
      <c r="J18" s="169">
        <f t="shared" si="0"/>
        <v>291552.60000000003</v>
      </c>
      <c r="K18" s="166">
        <f t="shared" si="1"/>
        <v>1021747.3999999999</v>
      </c>
      <c r="L18" s="177" t="s">
        <v>19</v>
      </c>
    </row>
    <row r="19" spans="1:12" ht="35.5">
      <c r="A19" s="6">
        <v>18</v>
      </c>
      <c r="B19" s="6"/>
      <c r="C19" s="196" t="s">
        <v>65</v>
      </c>
      <c r="D19" s="197" t="s">
        <v>79</v>
      </c>
      <c r="E19" s="198" t="s">
        <v>180</v>
      </c>
      <c r="F19" s="199">
        <v>961240002262</v>
      </c>
      <c r="G19" s="200">
        <v>46122</v>
      </c>
      <c r="H19" s="201">
        <v>28966</v>
      </c>
      <c r="I19" s="181">
        <v>10</v>
      </c>
      <c r="J19" s="169">
        <f t="shared" si="0"/>
        <v>3215.2260000000001</v>
      </c>
      <c r="K19" s="166">
        <f t="shared" si="1"/>
        <v>25750.774000000001</v>
      </c>
      <c r="L19" s="177" t="s">
        <v>19</v>
      </c>
    </row>
    <row r="20" spans="1:12" ht="35.5">
      <c r="A20" s="6">
        <v>19</v>
      </c>
      <c r="B20" s="6"/>
      <c r="C20" s="196" t="s">
        <v>65</v>
      </c>
      <c r="D20" s="197" t="s">
        <v>79</v>
      </c>
      <c r="E20" s="198" t="s">
        <v>180</v>
      </c>
      <c r="F20" s="199">
        <v>961240002262</v>
      </c>
      <c r="G20" s="200">
        <v>46139</v>
      </c>
      <c r="H20" s="201">
        <v>14032</v>
      </c>
      <c r="I20" s="181">
        <v>10</v>
      </c>
      <c r="J20" s="169">
        <f t="shared" si="0"/>
        <v>1557.5520000000001</v>
      </c>
      <c r="K20" s="166">
        <f t="shared" si="1"/>
        <v>12474.448</v>
      </c>
      <c r="L20" s="177" t="s">
        <v>19</v>
      </c>
    </row>
    <row r="21" spans="1:12" ht="35.5">
      <c r="A21" s="6">
        <v>20</v>
      </c>
      <c r="B21" s="6"/>
      <c r="C21" s="196" t="s">
        <v>65</v>
      </c>
      <c r="D21" s="197" t="s">
        <v>79</v>
      </c>
      <c r="E21" s="198" t="s">
        <v>180</v>
      </c>
      <c r="F21" s="199">
        <v>961240002262</v>
      </c>
      <c r="G21" s="200">
        <v>46139</v>
      </c>
      <c r="H21" s="201">
        <v>23380</v>
      </c>
      <c r="I21" s="181">
        <v>10</v>
      </c>
      <c r="J21" s="169">
        <f t="shared" si="0"/>
        <v>2595.1800000000003</v>
      </c>
      <c r="K21" s="166">
        <f t="shared" si="1"/>
        <v>20784.82</v>
      </c>
      <c r="L21" s="177" t="s">
        <v>19</v>
      </c>
    </row>
    <row r="22" spans="1:12" ht="35.5">
      <c r="A22" s="6">
        <v>21</v>
      </c>
      <c r="B22" s="6"/>
      <c r="C22" s="196" t="s">
        <v>65</v>
      </c>
      <c r="D22" s="197" t="s">
        <v>63</v>
      </c>
      <c r="E22" s="198" t="s">
        <v>94</v>
      </c>
      <c r="F22" s="199">
        <v>241140017386</v>
      </c>
      <c r="G22" s="200">
        <v>46134</v>
      </c>
      <c r="H22" s="201">
        <v>127500</v>
      </c>
      <c r="I22" s="181">
        <v>10</v>
      </c>
      <c r="J22" s="169">
        <f t="shared" si="0"/>
        <v>14152.500000000002</v>
      </c>
      <c r="K22" s="166">
        <f t="shared" si="1"/>
        <v>113347.5</v>
      </c>
      <c r="L22" s="177" t="s">
        <v>227</v>
      </c>
    </row>
    <row r="23" spans="1:12" ht="35.5">
      <c r="A23" s="6">
        <v>22</v>
      </c>
      <c r="B23" s="6"/>
      <c r="C23" s="196" t="s">
        <v>65</v>
      </c>
      <c r="D23" s="197" t="s">
        <v>63</v>
      </c>
      <c r="E23" s="198" t="s">
        <v>145</v>
      </c>
      <c r="F23" s="199">
        <v>990140001888</v>
      </c>
      <c r="G23" s="200">
        <v>46134</v>
      </c>
      <c r="H23" s="201">
        <v>71205</v>
      </c>
      <c r="I23" s="181"/>
      <c r="J23" s="98">
        <f t="shared" si="0"/>
        <v>0</v>
      </c>
      <c r="K23" s="208">
        <f t="shared" si="1"/>
        <v>71205</v>
      </c>
      <c r="L23" s="178" t="s">
        <v>234</v>
      </c>
    </row>
    <row r="24" spans="1:12" ht="29">
      <c r="A24" s="6">
        <v>23</v>
      </c>
      <c r="B24" s="6"/>
      <c r="C24" s="42"/>
      <c r="D24" s="42" t="s">
        <v>106</v>
      </c>
      <c r="E24" s="209" t="s">
        <v>232</v>
      </c>
      <c r="F24" s="42">
        <v>160640006636</v>
      </c>
      <c r="G24" s="210">
        <v>46129</v>
      </c>
      <c r="H24" s="68">
        <v>19800</v>
      </c>
      <c r="I24" s="42">
        <v>0</v>
      </c>
      <c r="J24" s="169">
        <f t="shared" si="0"/>
        <v>0</v>
      </c>
      <c r="K24" s="166">
        <f t="shared" si="1"/>
        <v>19800</v>
      </c>
      <c r="L24" s="152" t="s">
        <v>227</v>
      </c>
    </row>
    <row r="25" spans="1:12">
      <c r="A25" s="6">
        <v>24</v>
      </c>
      <c r="B25" s="6"/>
      <c r="C25" s="42"/>
      <c r="D25" s="42" t="s">
        <v>106</v>
      </c>
      <c r="E25" s="42" t="s">
        <v>233</v>
      </c>
      <c r="F25" s="42"/>
      <c r="G25" s="210">
        <v>46127</v>
      </c>
      <c r="H25" s="68">
        <v>2568</v>
      </c>
      <c r="I25" s="42">
        <v>0</v>
      </c>
      <c r="J25" s="169">
        <f t="shared" si="0"/>
        <v>0</v>
      </c>
      <c r="K25" s="166">
        <f t="shared" si="1"/>
        <v>2568</v>
      </c>
      <c r="L25" s="152" t="s">
        <v>227</v>
      </c>
    </row>
    <row r="26" spans="1:12">
      <c r="A26" s="6">
        <v>25</v>
      </c>
      <c r="B26" s="6"/>
      <c r="C26" s="42"/>
      <c r="D26" s="42" t="s">
        <v>106</v>
      </c>
      <c r="E26" s="42" t="s">
        <v>233</v>
      </c>
      <c r="F26" s="42"/>
      <c r="G26" s="210">
        <v>46136</v>
      </c>
      <c r="H26" s="68">
        <v>2690</v>
      </c>
      <c r="I26" s="42">
        <v>0</v>
      </c>
      <c r="J26" s="169">
        <f t="shared" si="0"/>
        <v>0</v>
      </c>
      <c r="K26" s="166">
        <f t="shared" si="1"/>
        <v>2690</v>
      </c>
      <c r="L26" s="152" t="s">
        <v>227</v>
      </c>
    </row>
  </sheetData>
  <autoFilter ref="A1:M26" xr:uid="{299C8FCD-A300-4958-BD1B-68A86B96D4AB}">
    <sortState xmlns:xlrd2="http://schemas.microsoft.com/office/spreadsheetml/2017/richdata2" ref="A2:M26">
      <sortCondition ref="D1:D26"/>
    </sortState>
  </autoFilter>
  <conditionalFormatting sqref="H1">
    <cfRule type="duplicateValues" dxfId="30" priority="3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1FCEE-88AA-42AA-A82E-1652C0D7EA2D}">
  <dimension ref="A1:P272"/>
  <sheetViews>
    <sheetView workbookViewId="0">
      <selection activeCell="B1" sqref="B1"/>
    </sheetView>
  </sheetViews>
  <sheetFormatPr defaultRowHeight="14.5"/>
  <cols>
    <col min="3" max="3" width="12" customWidth="1"/>
    <col min="4" max="4" width="91.453125" customWidth="1"/>
    <col min="5" max="5" width="14.453125" bestFit="1" customWidth="1"/>
    <col min="6" max="6" width="11" bestFit="1" customWidth="1"/>
    <col min="7" max="7" width="14.1796875" style="40" bestFit="1" customWidth="1"/>
    <col min="8" max="8" width="9.1796875" style="93"/>
    <col min="9" max="9" width="12.453125" bestFit="1" customWidth="1"/>
    <col min="10" max="10" width="12.81640625" bestFit="1" customWidth="1"/>
    <col min="11" max="11" width="23.453125" bestFit="1" customWidth="1"/>
    <col min="14" max="14" width="24.7265625" bestFit="1" customWidth="1"/>
    <col min="15" max="15" width="24" bestFit="1" customWidth="1"/>
    <col min="16" max="16" width="30.54296875" bestFit="1" customWidth="1"/>
  </cols>
  <sheetData>
    <row r="1" spans="1:16">
      <c r="A1" s="164" t="s">
        <v>0</v>
      </c>
      <c r="B1" s="165" t="s">
        <v>55</v>
      </c>
      <c r="C1" s="164" t="s">
        <v>1</v>
      </c>
      <c r="D1" s="164" t="s">
        <v>2</v>
      </c>
      <c r="E1" s="185" t="s">
        <v>3</v>
      </c>
      <c r="F1" s="164" t="s">
        <v>4</v>
      </c>
      <c r="G1" s="186" t="s">
        <v>5</v>
      </c>
      <c r="H1" s="164" t="s">
        <v>6</v>
      </c>
      <c r="I1" s="186" t="s">
        <v>7</v>
      </c>
      <c r="J1" s="164" t="s">
        <v>8</v>
      </c>
      <c r="K1" s="164" t="s">
        <v>9</v>
      </c>
    </row>
    <row r="2" spans="1:16">
      <c r="A2" s="216">
        <v>1</v>
      </c>
      <c r="B2" s="217" t="s">
        <v>67</v>
      </c>
      <c r="C2" s="109" t="s">
        <v>91</v>
      </c>
      <c r="D2" s="220" t="s">
        <v>109</v>
      </c>
      <c r="E2" s="108">
        <v>111240018262</v>
      </c>
      <c r="F2" s="223">
        <v>46113</v>
      </c>
      <c r="G2" s="225">
        <v>1591825</v>
      </c>
      <c r="H2" s="227">
        <v>20</v>
      </c>
      <c r="I2" s="181">
        <f t="shared" ref="I2:I65" si="0">((G2*H2)/100)*1.11</f>
        <v>353385.15</v>
      </c>
      <c r="J2" s="167">
        <f t="shared" ref="J2:J65" si="1">G2-I2</f>
        <v>1238439.8500000001</v>
      </c>
      <c r="K2" s="168" t="s">
        <v>239</v>
      </c>
    </row>
    <row r="3" spans="1:16">
      <c r="A3" s="216">
        <v>2</v>
      </c>
      <c r="B3" s="217" t="s">
        <v>67</v>
      </c>
      <c r="C3" s="109" t="s">
        <v>91</v>
      </c>
      <c r="D3" s="220" t="s">
        <v>109</v>
      </c>
      <c r="E3" s="108">
        <v>111240018262</v>
      </c>
      <c r="F3" s="223">
        <v>46134</v>
      </c>
      <c r="G3" s="225">
        <v>440499.56</v>
      </c>
      <c r="H3" s="227">
        <v>20</v>
      </c>
      <c r="I3" s="181">
        <f t="shared" si="0"/>
        <v>97790.902320000008</v>
      </c>
      <c r="J3" s="167">
        <f t="shared" si="1"/>
        <v>342708.65768</v>
      </c>
      <c r="K3" s="168" t="s">
        <v>239</v>
      </c>
      <c r="N3" s="213" t="s">
        <v>42</v>
      </c>
      <c r="O3" s="60" t="s">
        <v>48</v>
      </c>
      <c r="P3" s="60" t="s">
        <v>45</v>
      </c>
    </row>
    <row r="4" spans="1:16">
      <c r="A4" s="216">
        <v>3</v>
      </c>
      <c r="B4" s="217" t="s">
        <v>67</v>
      </c>
      <c r="C4" s="109" t="s">
        <v>91</v>
      </c>
      <c r="D4" s="220" t="s">
        <v>109</v>
      </c>
      <c r="E4" s="108">
        <v>111240018262</v>
      </c>
      <c r="F4" s="223">
        <v>46134</v>
      </c>
      <c r="G4" s="225">
        <v>5261481</v>
      </c>
      <c r="H4" s="227">
        <v>20</v>
      </c>
      <c r="I4" s="181">
        <f t="shared" si="0"/>
        <v>1168048.7820000001</v>
      </c>
      <c r="J4" s="167">
        <f t="shared" si="1"/>
        <v>4093432.2179999999</v>
      </c>
      <c r="K4" s="168" t="s">
        <v>239</v>
      </c>
      <c r="N4" s="214" t="s">
        <v>54</v>
      </c>
      <c r="O4" s="60">
        <v>3221339.8099999996</v>
      </c>
      <c r="P4" s="60">
        <v>2831193.7588099991</v>
      </c>
    </row>
    <row r="5" spans="1:16" ht="24">
      <c r="A5" s="216">
        <v>4</v>
      </c>
      <c r="B5" s="196" t="s">
        <v>67</v>
      </c>
      <c r="C5" s="197" t="s">
        <v>76</v>
      </c>
      <c r="D5" s="198" t="s">
        <v>178</v>
      </c>
      <c r="E5" s="199">
        <v>50940005943</v>
      </c>
      <c r="F5" s="200">
        <v>46136</v>
      </c>
      <c r="G5" s="201">
        <v>203940.06</v>
      </c>
      <c r="H5" s="203">
        <v>10</v>
      </c>
      <c r="I5" s="177">
        <f t="shared" si="0"/>
        <v>22637.346660000003</v>
      </c>
      <c r="J5" s="173">
        <f t="shared" si="1"/>
        <v>181302.71333999999</v>
      </c>
      <c r="K5" s="180" t="s">
        <v>59</v>
      </c>
      <c r="N5" s="214" t="s">
        <v>25</v>
      </c>
      <c r="O5" s="60">
        <v>11944826.950000003</v>
      </c>
      <c r="P5" s="60">
        <v>10635072.271300001</v>
      </c>
    </row>
    <row r="6" spans="1:16" ht="24">
      <c r="A6" s="216">
        <v>5</v>
      </c>
      <c r="B6" s="196" t="s">
        <v>67</v>
      </c>
      <c r="C6" s="197" t="s">
        <v>76</v>
      </c>
      <c r="D6" s="198" t="s">
        <v>207</v>
      </c>
      <c r="E6" s="199">
        <v>180340024558</v>
      </c>
      <c r="F6" s="200">
        <v>46142</v>
      </c>
      <c r="G6" s="201">
        <v>114800.56</v>
      </c>
      <c r="H6" s="184">
        <v>10</v>
      </c>
      <c r="I6" s="181">
        <f t="shared" si="0"/>
        <v>12742.862160000002</v>
      </c>
      <c r="J6" s="173">
        <f t="shared" si="1"/>
        <v>102057.69783999999</v>
      </c>
      <c r="K6" s="180" t="s">
        <v>54</v>
      </c>
      <c r="N6" s="214" t="s">
        <v>59</v>
      </c>
      <c r="O6" s="60">
        <v>979556.36</v>
      </c>
      <c r="P6" s="60">
        <v>870825.60403999989</v>
      </c>
    </row>
    <row r="7" spans="1:16" ht="24">
      <c r="A7" s="216">
        <v>6</v>
      </c>
      <c r="B7" s="196" t="s">
        <v>67</v>
      </c>
      <c r="C7" s="197" t="s">
        <v>76</v>
      </c>
      <c r="D7" s="198" t="s">
        <v>182</v>
      </c>
      <c r="E7" s="199">
        <v>960240000461</v>
      </c>
      <c r="F7" s="200">
        <v>46139</v>
      </c>
      <c r="G7" s="201">
        <v>197749.07</v>
      </c>
      <c r="H7" s="203">
        <v>10</v>
      </c>
      <c r="I7" s="177">
        <f t="shared" si="0"/>
        <v>21950.146770000007</v>
      </c>
      <c r="J7" s="173">
        <f t="shared" si="1"/>
        <v>175798.92323000001</v>
      </c>
      <c r="K7" s="180" t="s">
        <v>54</v>
      </c>
      <c r="N7" s="214" t="s">
        <v>238</v>
      </c>
      <c r="O7" s="60">
        <v>27725411.189999998</v>
      </c>
      <c r="P7" s="60">
        <v>21017223.240075</v>
      </c>
    </row>
    <row r="8" spans="1:16" ht="24">
      <c r="A8" s="216">
        <v>7</v>
      </c>
      <c r="B8" s="196" t="s">
        <v>67</v>
      </c>
      <c r="C8" s="197" t="s">
        <v>76</v>
      </c>
      <c r="D8" s="198" t="s">
        <v>182</v>
      </c>
      <c r="E8" s="199">
        <v>960240000461</v>
      </c>
      <c r="F8" s="200">
        <v>46141</v>
      </c>
      <c r="G8" s="201">
        <v>609877.28</v>
      </c>
      <c r="H8" s="184">
        <v>10</v>
      </c>
      <c r="I8" s="181">
        <f t="shared" si="0"/>
        <v>67696.378080000024</v>
      </c>
      <c r="J8" s="175">
        <f t="shared" si="1"/>
        <v>542180.90191999997</v>
      </c>
      <c r="K8" s="180" t="s">
        <v>54</v>
      </c>
      <c r="N8" s="214" t="s">
        <v>19</v>
      </c>
      <c r="O8" s="60">
        <v>13118382.74</v>
      </c>
      <c r="P8" s="60">
        <v>11525032.191604998</v>
      </c>
    </row>
    <row r="9" spans="1:16" ht="24">
      <c r="A9" s="216">
        <v>8</v>
      </c>
      <c r="B9" s="196" t="s">
        <v>66</v>
      </c>
      <c r="C9" s="197" t="s">
        <v>76</v>
      </c>
      <c r="D9" s="198" t="s">
        <v>182</v>
      </c>
      <c r="E9" s="199">
        <v>960240000461</v>
      </c>
      <c r="F9" s="200">
        <v>46141</v>
      </c>
      <c r="G9" s="201">
        <v>554925.76</v>
      </c>
      <c r="H9" s="184">
        <v>10</v>
      </c>
      <c r="I9" s="171">
        <f t="shared" si="0"/>
        <v>61596.759359999996</v>
      </c>
      <c r="J9" s="175">
        <f t="shared" si="1"/>
        <v>493329.00063999998</v>
      </c>
      <c r="K9" s="180" t="s">
        <v>54</v>
      </c>
      <c r="N9" s="214" t="s">
        <v>18</v>
      </c>
      <c r="O9" s="60">
        <v>5790299.7200000007</v>
      </c>
      <c r="P9" s="60">
        <v>4504853.1821600003</v>
      </c>
    </row>
    <row r="10" spans="1:16" ht="24">
      <c r="A10" s="216">
        <v>9</v>
      </c>
      <c r="B10" s="196" t="s">
        <v>66</v>
      </c>
      <c r="C10" s="197" t="s">
        <v>76</v>
      </c>
      <c r="D10" s="198" t="s">
        <v>190</v>
      </c>
      <c r="E10" s="199">
        <v>970440000758</v>
      </c>
      <c r="F10" s="200">
        <v>46140</v>
      </c>
      <c r="G10" s="201">
        <v>41080.01</v>
      </c>
      <c r="H10" s="203">
        <v>10</v>
      </c>
      <c r="I10" s="177">
        <f t="shared" si="0"/>
        <v>4559.8811100000003</v>
      </c>
      <c r="J10" s="173">
        <f t="shared" si="1"/>
        <v>36520.12889</v>
      </c>
      <c r="K10" s="180" t="s">
        <v>59</v>
      </c>
      <c r="N10" s="214" t="s">
        <v>13</v>
      </c>
      <c r="O10" s="60">
        <v>33479771.66</v>
      </c>
      <c r="P10" s="60">
        <v>31002077.779610001</v>
      </c>
    </row>
    <row r="11" spans="1:16" ht="24">
      <c r="A11" s="216">
        <v>10</v>
      </c>
      <c r="B11" s="196" t="s">
        <v>77</v>
      </c>
      <c r="C11" s="197" t="s">
        <v>76</v>
      </c>
      <c r="D11" s="198" t="s">
        <v>92</v>
      </c>
      <c r="E11" s="199">
        <v>970440000064</v>
      </c>
      <c r="F11" s="200">
        <v>46135</v>
      </c>
      <c r="G11" s="201">
        <v>91773</v>
      </c>
      <c r="H11" s="203">
        <v>10</v>
      </c>
      <c r="I11" s="177">
        <f t="shared" si="0"/>
        <v>10186.803</v>
      </c>
      <c r="J11" s="173">
        <f t="shared" si="1"/>
        <v>81586.197</v>
      </c>
      <c r="K11" s="180" t="s">
        <v>59</v>
      </c>
      <c r="N11" s="214" t="s">
        <v>236</v>
      </c>
      <c r="O11" s="60">
        <v>10288334.6</v>
      </c>
      <c r="P11" s="60">
        <v>8163708.0777200004</v>
      </c>
    </row>
    <row r="12" spans="1:16" ht="24">
      <c r="A12" s="216">
        <v>11</v>
      </c>
      <c r="B12" s="196" t="s">
        <v>67</v>
      </c>
      <c r="C12" s="197" t="s">
        <v>76</v>
      </c>
      <c r="D12" s="198" t="s">
        <v>90</v>
      </c>
      <c r="E12" s="199">
        <v>970940002138</v>
      </c>
      <c r="F12" s="200">
        <v>46135</v>
      </c>
      <c r="G12" s="201">
        <v>61000</v>
      </c>
      <c r="H12" s="181">
        <v>10</v>
      </c>
      <c r="I12" s="177">
        <f t="shared" si="0"/>
        <v>6771.0000000000009</v>
      </c>
      <c r="J12" s="173">
        <f t="shared" si="1"/>
        <v>54229</v>
      </c>
      <c r="K12" s="180" t="s">
        <v>54</v>
      </c>
      <c r="N12" s="214" t="s">
        <v>56</v>
      </c>
      <c r="O12" s="60">
        <v>1984073.51</v>
      </c>
      <c r="P12" s="60">
        <v>1984073.51</v>
      </c>
    </row>
    <row r="13" spans="1:16" ht="24">
      <c r="A13" s="216">
        <v>12</v>
      </c>
      <c r="B13" s="196" t="s">
        <v>67</v>
      </c>
      <c r="C13" s="197" t="s">
        <v>76</v>
      </c>
      <c r="D13" s="198" t="s">
        <v>166</v>
      </c>
      <c r="E13" s="199">
        <v>141240015500</v>
      </c>
      <c r="F13" s="200">
        <v>46135</v>
      </c>
      <c r="G13" s="201">
        <v>6190.06</v>
      </c>
      <c r="H13" s="181">
        <v>10</v>
      </c>
      <c r="I13" s="177">
        <f t="shared" si="0"/>
        <v>687.09666000000016</v>
      </c>
      <c r="J13" s="173">
        <f t="shared" si="1"/>
        <v>5502.9633400000002</v>
      </c>
      <c r="K13" s="180" t="s">
        <v>54</v>
      </c>
      <c r="N13" s="214" t="s">
        <v>228</v>
      </c>
      <c r="O13" s="60">
        <v>185600</v>
      </c>
      <c r="P13" s="60">
        <v>164998.39999999999</v>
      </c>
    </row>
    <row r="14" spans="1:16" ht="24">
      <c r="A14" s="216">
        <v>13</v>
      </c>
      <c r="B14" s="196" t="s">
        <v>67</v>
      </c>
      <c r="C14" s="197" t="s">
        <v>76</v>
      </c>
      <c r="D14" s="198" t="s">
        <v>105</v>
      </c>
      <c r="E14" s="199">
        <v>251240038027</v>
      </c>
      <c r="F14" s="200">
        <v>46135</v>
      </c>
      <c r="G14" s="201">
        <v>2010.27</v>
      </c>
      <c r="H14" s="181">
        <v>10</v>
      </c>
      <c r="I14" s="177">
        <f t="shared" si="0"/>
        <v>223.13997000000003</v>
      </c>
      <c r="J14" s="173">
        <f t="shared" si="1"/>
        <v>1787.13003</v>
      </c>
      <c r="K14" s="180" t="s">
        <v>54</v>
      </c>
      <c r="N14" s="214" t="s">
        <v>226</v>
      </c>
      <c r="O14" s="60">
        <v>5684778.1799999988</v>
      </c>
      <c r="P14" s="60">
        <v>5181722.5369799994</v>
      </c>
    </row>
    <row r="15" spans="1:16" ht="24">
      <c r="A15" s="216">
        <v>14</v>
      </c>
      <c r="B15" s="196" t="s">
        <v>66</v>
      </c>
      <c r="C15" s="197" t="s">
        <v>76</v>
      </c>
      <c r="D15" s="198" t="s">
        <v>184</v>
      </c>
      <c r="E15" s="199">
        <v>970240000853</v>
      </c>
      <c r="F15" s="200">
        <v>46139</v>
      </c>
      <c r="G15" s="201">
        <v>206351.47</v>
      </c>
      <c r="H15" s="184">
        <v>10</v>
      </c>
      <c r="I15" s="177">
        <f t="shared" si="0"/>
        <v>22905.013170000002</v>
      </c>
      <c r="J15" s="173">
        <f t="shared" si="1"/>
        <v>183446.45683000001</v>
      </c>
      <c r="K15" s="180" t="s">
        <v>54</v>
      </c>
      <c r="N15" s="214" t="s">
        <v>237</v>
      </c>
      <c r="O15" s="60">
        <v>21368773.489999995</v>
      </c>
      <c r="P15" s="60">
        <v>17039907.775024999</v>
      </c>
    </row>
    <row r="16" spans="1:16" ht="24">
      <c r="A16" s="216">
        <v>15</v>
      </c>
      <c r="B16" s="196" t="s">
        <v>67</v>
      </c>
      <c r="C16" s="197" t="s">
        <v>76</v>
      </c>
      <c r="D16" s="198" t="s">
        <v>184</v>
      </c>
      <c r="E16" s="199">
        <v>970240000853</v>
      </c>
      <c r="F16" s="200">
        <v>46142</v>
      </c>
      <c r="G16" s="201">
        <v>163136.09</v>
      </c>
      <c r="H16" s="184">
        <v>10</v>
      </c>
      <c r="I16" s="177">
        <f t="shared" si="0"/>
        <v>18108.10599</v>
      </c>
      <c r="J16" s="173">
        <f t="shared" si="1"/>
        <v>145027.98400999999</v>
      </c>
      <c r="K16" s="180" t="s">
        <v>54</v>
      </c>
      <c r="N16" s="214" t="s">
        <v>51</v>
      </c>
      <c r="O16" s="60">
        <v>2586034.27</v>
      </c>
      <c r="P16" s="60">
        <v>2011934.66206</v>
      </c>
    </row>
    <row r="17" spans="1:16" ht="24">
      <c r="A17" s="216">
        <v>16</v>
      </c>
      <c r="B17" s="196" t="s">
        <v>67</v>
      </c>
      <c r="C17" s="197" t="s">
        <v>76</v>
      </c>
      <c r="D17" s="198" t="s">
        <v>184</v>
      </c>
      <c r="E17" s="199">
        <v>970240000853</v>
      </c>
      <c r="F17" s="200">
        <v>46142</v>
      </c>
      <c r="G17" s="201">
        <v>249629.59</v>
      </c>
      <c r="H17" s="184">
        <v>10</v>
      </c>
      <c r="I17" s="177">
        <f t="shared" si="0"/>
        <v>27708.88449</v>
      </c>
      <c r="J17" s="173">
        <f t="shared" si="1"/>
        <v>221920.70551</v>
      </c>
      <c r="K17" s="180" t="s">
        <v>54</v>
      </c>
      <c r="N17" s="214" t="s">
        <v>227</v>
      </c>
      <c r="O17" s="60">
        <v>13781652.850000001</v>
      </c>
      <c r="P17" s="60">
        <v>8176089.6144100018</v>
      </c>
    </row>
    <row r="18" spans="1:16" ht="24">
      <c r="A18" s="216">
        <v>17</v>
      </c>
      <c r="B18" s="196" t="s">
        <v>67</v>
      </c>
      <c r="C18" s="197" t="s">
        <v>76</v>
      </c>
      <c r="D18" s="198" t="s">
        <v>184</v>
      </c>
      <c r="E18" s="199">
        <v>970240000853</v>
      </c>
      <c r="F18" s="200">
        <v>46142</v>
      </c>
      <c r="G18" s="201">
        <v>376229.28</v>
      </c>
      <c r="H18" s="184">
        <v>10</v>
      </c>
      <c r="I18" s="177">
        <f t="shared" si="0"/>
        <v>41761.450080000002</v>
      </c>
      <c r="J18" s="173">
        <f t="shared" si="1"/>
        <v>334467.82992000005</v>
      </c>
      <c r="K18" s="180" t="s">
        <v>54</v>
      </c>
      <c r="N18" s="214" t="s">
        <v>43</v>
      </c>
      <c r="O18" s="60"/>
      <c r="P18" s="60">
        <v>0</v>
      </c>
    </row>
    <row r="19" spans="1:16" ht="24">
      <c r="A19" s="216">
        <v>18</v>
      </c>
      <c r="B19" s="196" t="s">
        <v>66</v>
      </c>
      <c r="C19" s="197" t="s">
        <v>76</v>
      </c>
      <c r="D19" s="198" t="s">
        <v>202</v>
      </c>
      <c r="E19" s="199">
        <v>50940002919</v>
      </c>
      <c r="F19" s="200">
        <v>46141</v>
      </c>
      <c r="G19" s="201">
        <v>453598</v>
      </c>
      <c r="H19" s="203">
        <v>10</v>
      </c>
      <c r="I19" s="181">
        <f t="shared" si="0"/>
        <v>50349.378000000004</v>
      </c>
      <c r="J19" s="175">
        <f t="shared" si="1"/>
        <v>403248.62199999997</v>
      </c>
      <c r="K19" s="180" t="s">
        <v>59</v>
      </c>
      <c r="N19" s="214" t="s">
        <v>239</v>
      </c>
      <c r="O19" s="60">
        <v>8213600.4500000002</v>
      </c>
      <c r="P19" s="60">
        <v>6540068.1452899994</v>
      </c>
    </row>
    <row r="20" spans="1:16" ht="24">
      <c r="A20" s="216">
        <v>19</v>
      </c>
      <c r="B20" s="196" t="s">
        <v>66</v>
      </c>
      <c r="C20" s="197" t="s">
        <v>76</v>
      </c>
      <c r="D20" s="198" t="s">
        <v>200</v>
      </c>
      <c r="E20" s="199">
        <v>970540002153</v>
      </c>
      <c r="F20" s="200">
        <v>46141</v>
      </c>
      <c r="G20" s="201">
        <v>48023.26</v>
      </c>
      <c r="H20" s="203">
        <v>10</v>
      </c>
      <c r="I20" s="181">
        <f t="shared" si="0"/>
        <v>5330.5818600000002</v>
      </c>
      <c r="J20" s="175">
        <f t="shared" si="1"/>
        <v>42692.678140000004</v>
      </c>
      <c r="K20" s="180" t="s">
        <v>59</v>
      </c>
      <c r="N20" s="214" t="s">
        <v>44</v>
      </c>
      <c r="O20" s="60">
        <v>160352435.77999997</v>
      </c>
      <c r="P20" s="60">
        <v>131648780.74908501</v>
      </c>
    </row>
    <row r="21" spans="1:16" ht="24">
      <c r="A21" s="216">
        <v>20</v>
      </c>
      <c r="B21" s="196" t="s">
        <v>67</v>
      </c>
      <c r="C21" s="197" t="s">
        <v>76</v>
      </c>
      <c r="D21" s="198" t="s">
        <v>205</v>
      </c>
      <c r="E21" s="199">
        <v>970640000498</v>
      </c>
      <c r="F21" s="200">
        <v>46142</v>
      </c>
      <c r="G21" s="201">
        <v>49440.13</v>
      </c>
      <c r="H21" s="203">
        <v>10</v>
      </c>
      <c r="I21" s="181">
        <f t="shared" si="0"/>
        <v>5487.8544300000003</v>
      </c>
      <c r="J21" s="173">
        <f t="shared" si="1"/>
        <v>43952.275569999998</v>
      </c>
      <c r="K21" s="180" t="s">
        <v>59</v>
      </c>
    </row>
    <row r="22" spans="1:16" ht="24">
      <c r="A22" s="216">
        <v>21</v>
      </c>
      <c r="B22" s="196" t="s">
        <v>67</v>
      </c>
      <c r="C22" s="197" t="s">
        <v>76</v>
      </c>
      <c r="D22" s="198" t="s">
        <v>104</v>
      </c>
      <c r="E22" s="199">
        <v>970640001505</v>
      </c>
      <c r="F22" s="200">
        <v>46135</v>
      </c>
      <c r="G22" s="201">
        <v>210960.11</v>
      </c>
      <c r="H22" s="181">
        <v>20</v>
      </c>
      <c r="I22" s="181">
        <f t="shared" si="0"/>
        <v>46833.14441999999</v>
      </c>
      <c r="J22" s="175">
        <f t="shared" si="1"/>
        <v>164126.96557999999</v>
      </c>
      <c r="K22" s="180" t="s">
        <v>54</v>
      </c>
    </row>
    <row r="23" spans="1:16" ht="24">
      <c r="A23" s="216">
        <v>22</v>
      </c>
      <c r="B23" s="196" t="s">
        <v>66</v>
      </c>
      <c r="C23" s="197" t="s">
        <v>76</v>
      </c>
      <c r="D23" s="198" t="s">
        <v>104</v>
      </c>
      <c r="E23" s="199">
        <v>970640001505</v>
      </c>
      <c r="F23" s="200">
        <v>46135</v>
      </c>
      <c r="G23" s="201">
        <v>50928.27</v>
      </c>
      <c r="H23" s="181">
        <v>20</v>
      </c>
      <c r="I23" s="177">
        <f t="shared" si="0"/>
        <v>11306.075939999999</v>
      </c>
      <c r="J23" s="173">
        <f t="shared" si="1"/>
        <v>39622.194059999994</v>
      </c>
      <c r="K23" s="180" t="s">
        <v>54</v>
      </c>
    </row>
    <row r="24" spans="1:16" ht="24">
      <c r="A24" s="216">
        <v>23</v>
      </c>
      <c r="B24" s="196" t="s">
        <v>67</v>
      </c>
      <c r="C24" s="197" t="s">
        <v>76</v>
      </c>
      <c r="D24" s="198" t="s">
        <v>104</v>
      </c>
      <c r="E24" s="199">
        <v>970640001505</v>
      </c>
      <c r="F24" s="200">
        <v>46139</v>
      </c>
      <c r="G24" s="201">
        <v>31601.1</v>
      </c>
      <c r="H24" s="181">
        <v>20</v>
      </c>
      <c r="I24" s="177">
        <f t="shared" si="0"/>
        <v>7015.4442000000008</v>
      </c>
      <c r="J24" s="173">
        <f t="shared" si="1"/>
        <v>24585.655799999997</v>
      </c>
      <c r="K24" s="180" t="s">
        <v>54</v>
      </c>
    </row>
    <row r="25" spans="1:16" ht="24">
      <c r="A25" s="216">
        <v>24</v>
      </c>
      <c r="B25" s="196" t="s">
        <v>77</v>
      </c>
      <c r="C25" s="197" t="s">
        <v>76</v>
      </c>
      <c r="D25" s="198" t="s">
        <v>175</v>
      </c>
      <c r="E25" s="199">
        <v>50240003763</v>
      </c>
      <c r="F25" s="200">
        <v>46135</v>
      </c>
      <c r="G25" s="201">
        <v>70820</v>
      </c>
      <c r="H25" s="203">
        <v>10</v>
      </c>
      <c r="I25" s="177">
        <f t="shared" si="0"/>
        <v>7861.02</v>
      </c>
      <c r="J25" s="173">
        <f t="shared" si="1"/>
        <v>62958.979999999996</v>
      </c>
      <c r="K25" s="180" t="s">
        <v>59</v>
      </c>
    </row>
    <row r="26" spans="1:16" ht="24">
      <c r="A26" s="216">
        <v>25</v>
      </c>
      <c r="B26" s="196" t="s">
        <v>67</v>
      </c>
      <c r="C26" s="197" t="s">
        <v>76</v>
      </c>
      <c r="D26" s="198" t="s">
        <v>103</v>
      </c>
      <c r="E26" s="199">
        <v>940740000505</v>
      </c>
      <c r="F26" s="200">
        <v>46136</v>
      </c>
      <c r="G26" s="201">
        <v>373000.9</v>
      </c>
      <c r="H26" s="181">
        <v>10</v>
      </c>
      <c r="I26" s="181">
        <f t="shared" si="0"/>
        <v>41403.099900000001</v>
      </c>
      <c r="J26" s="175">
        <f t="shared" si="1"/>
        <v>331597.80009999999</v>
      </c>
      <c r="K26" s="180" t="s">
        <v>54</v>
      </c>
    </row>
    <row r="27" spans="1:16" ht="24">
      <c r="A27" s="216">
        <v>26</v>
      </c>
      <c r="B27" s="196" t="s">
        <v>66</v>
      </c>
      <c r="C27" s="197" t="s">
        <v>76</v>
      </c>
      <c r="D27" s="198" t="s">
        <v>103</v>
      </c>
      <c r="E27" s="199">
        <v>940740000505</v>
      </c>
      <c r="F27" s="200">
        <v>46136</v>
      </c>
      <c r="G27" s="201">
        <v>12950</v>
      </c>
      <c r="H27" s="181">
        <v>10</v>
      </c>
      <c r="I27" s="177">
        <f t="shared" si="0"/>
        <v>1437.45</v>
      </c>
      <c r="J27" s="173">
        <f t="shared" si="1"/>
        <v>11512.55</v>
      </c>
      <c r="K27" s="180" t="s">
        <v>54</v>
      </c>
    </row>
    <row r="28" spans="1:16" ht="24">
      <c r="A28" s="216">
        <v>27</v>
      </c>
      <c r="B28" s="196" t="s">
        <v>66</v>
      </c>
      <c r="C28" s="197" t="s">
        <v>76</v>
      </c>
      <c r="D28" s="198" t="s">
        <v>78</v>
      </c>
      <c r="E28" s="199">
        <v>940002038</v>
      </c>
      <c r="F28" s="200">
        <v>46115</v>
      </c>
      <c r="G28" s="201">
        <v>20881.900000000001</v>
      </c>
      <c r="H28" s="203">
        <v>10</v>
      </c>
      <c r="I28" s="172">
        <f t="shared" si="0"/>
        <v>2317.8909000000003</v>
      </c>
      <c r="J28" s="173">
        <f t="shared" si="1"/>
        <v>18564.009100000003</v>
      </c>
      <c r="K28" s="180" t="s">
        <v>59</v>
      </c>
    </row>
    <row r="29" spans="1:16">
      <c r="A29" s="216">
        <v>28</v>
      </c>
      <c r="B29" s="196" t="s">
        <v>67</v>
      </c>
      <c r="C29" s="197" t="s">
        <v>61</v>
      </c>
      <c r="D29" s="198" t="s">
        <v>148</v>
      </c>
      <c r="E29" s="206">
        <v>990440003459</v>
      </c>
      <c r="F29" s="200">
        <v>46128</v>
      </c>
      <c r="G29" s="201">
        <v>229674</v>
      </c>
      <c r="H29" s="204">
        <v>10</v>
      </c>
      <c r="I29" s="177">
        <f t="shared" si="0"/>
        <v>25493.814000000002</v>
      </c>
      <c r="J29" s="173">
        <f t="shared" si="1"/>
        <v>204180.18599999999</v>
      </c>
      <c r="K29" s="178" t="s">
        <v>237</v>
      </c>
    </row>
    <row r="30" spans="1:16">
      <c r="A30" s="216">
        <v>29</v>
      </c>
      <c r="B30" s="196" t="s">
        <v>67</v>
      </c>
      <c r="C30" s="197" t="s">
        <v>61</v>
      </c>
      <c r="D30" s="198" t="s">
        <v>199</v>
      </c>
      <c r="E30" s="206">
        <v>990440003002</v>
      </c>
      <c r="F30" s="200">
        <v>46141</v>
      </c>
      <c r="G30" s="201">
        <v>5571448.5599999996</v>
      </c>
      <c r="H30" s="152">
        <v>10</v>
      </c>
      <c r="I30" s="181">
        <f t="shared" si="0"/>
        <v>618430.79015999998</v>
      </c>
      <c r="J30" s="167">
        <f t="shared" si="1"/>
        <v>4953017.7698399993</v>
      </c>
      <c r="K30" s="180" t="s">
        <v>13</v>
      </c>
    </row>
    <row r="31" spans="1:16">
      <c r="A31" s="216">
        <v>30</v>
      </c>
      <c r="B31" s="196" t="s">
        <v>67</v>
      </c>
      <c r="C31" s="197" t="s">
        <v>61</v>
      </c>
      <c r="D31" s="198" t="s">
        <v>204</v>
      </c>
      <c r="E31" s="206">
        <v>990440003131</v>
      </c>
      <c r="F31" s="200">
        <v>46142</v>
      </c>
      <c r="G31" s="201">
        <v>43140.17</v>
      </c>
      <c r="H31" s="152">
        <v>20</v>
      </c>
      <c r="I31" s="181">
        <f t="shared" si="0"/>
        <v>9577.1177399999997</v>
      </c>
      <c r="J31" s="167">
        <f t="shared" si="1"/>
        <v>33563.052259999997</v>
      </c>
      <c r="K31" s="180" t="s">
        <v>236</v>
      </c>
    </row>
    <row r="32" spans="1:16">
      <c r="A32" s="216">
        <v>31</v>
      </c>
      <c r="B32" s="196" t="s">
        <v>67</v>
      </c>
      <c r="C32" s="197" t="s">
        <v>61</v>
      </c>
      <c r="D32" s="198" t="s">
        <v>204</v>
      </c>
      <c r="E32" s="206">
        <v>990440003131</v>
      </c>
      <c r="F32" s="200">
        <v>46142</v>
      </c>
      <c r="G32" s="201">
        <v>314388.21000000002</v>
      </c>
      <c r="H32" s="152">
        <v>20</v>
      </c>
      <c r="I32" s="181">
        <f t="shared" si="0"/>
        <v>69794.182620000007</v>
      </c>
      <c r="J32" s="167">
        <f t="shared" si="1"/>
        <v>244594.02738000001</v>
      </c>
      <c r="K32" s="180" t="s">
        <v>236</v>
      </c>
    </row>
    <row r="33" spans="1:11">
      <c r="A33" s="216">
        <v>32</v>
      </c>
      <c r="B33" s="196" t="s">
        <v>67</v>
      </c>
      <c r="C33" s="197" t="s">
        <v>61</v>
      </c>
      <c r="D33" s="198" t="s">
        <v>204</v>
      </c>
      <c r="E33" s="206">
        <v>990440003131</v>
      </c>
      <c r="F33" s="200">
        <v>46142</v>
      </c>
      <c r="G33" s="201">
        <v>946480.19</v>
      </c>
      <c r="H33" s="152">
        <v>20</v>
      </c>
      <c r="I33" s="181">
        <f t="shared" si="0"/>
        <v>210118.60217999999</v>
      </c>
      <c r="J33" s="167">
        <f t="shared" si="1"/>
        <v>736361.58782000002</v>
      </c>
      <c r="K33" s="180" t="s">
        <v>236</v>
      </c>
    </row>
    <row r="34" spans="1:11">
      <c r="A34" s="216">
        <v>33</v>
      </c>
      <c r="B34" s="196" t="s">
        <v>66</v>
      </c>
      <c r="C34" s="197" t="s">
        <v>61</v>
      </c>
      <c r="D34" s="198" t="s">
        <v>204</v>
      </c>
      <c r="E34" s="206">
        <v>990440003131</v>
      </c>
      <c r="F34" s="200">
        <v>46142</v>
      </c>
      <c r="G34" s="201">
        <v>990279.33</v>
      </c>
      <c r="H34" s="152">
        <v>20</v>
      </c>
      <c r="I34" s="181">
        <f t="shared" si="0"/>
        <v>219842.01126</v>
      </c>
      <c r="J34" s="167">
        <f t="shared" si="1"/>
        <v>770437.31874000002</v>
      </c>
      <c r="K34" s="180" t="s">
        <v>236</v>
      </c>
    </row>
    <row r="35" spans="1:11">
      <c r="A35" s="216">
        <v>34</v>
      </c>
      <c r="B35" s="196" t="s">
        <v>67</v>
      </c>
      <c r="C35" s="197" t="s">
        <v>61</v>
      </c>
      <c r="D35" s="198" t="s">
        <v>193</v>
      </c>
      <c r="E35" s="206">
        <v>990440003220</v>
      </c>
      <c r="F35" s="200">
        <v>46141</v>
      </c>
      <c r="G35" s="201">
        <v>194768.17</v>
      </c>
      <c r="H35" s="184">
        <v>20</v>
      </c>
      <c r="I35" s="181">
        <f t="shared" si="0"/>
        <v>43238.533740000013</v>
      </c>
      <c r="J35" s="167">
        <f t="shared" si="1"/>
        <v>151529.63626</v>
      </c>
      <c r="K35" s="180" t="s">
        <v>238</v>
      </c>
    </row>
    <row r="36" spans="1:11">
      <c r="A36" s="216">
        <v>35</v>
      </c>
      <c r="B36" s="196" t="s">
        <v>66</v>
      </c>
      <c r="C36" s="197" t="s">
        <v>61</v>
      </c>
      <c r="D36" s="198" t="s">
        <v>193</v>
      </c>
      <c r="E36" s="206">
        <v>990440003220</v>
      </c>
      <c r="F36" s="200">
        <v>46141</v>
      </c>
      <c r="G36" s="201">
        <v>647618.57999999996</v>
      </c>
      <c r="H36" s="152">
        <v>20</v>
      </c>
      <c r="I36" s="181">
        <f t="shared" si="0"/>
        <v>143771.32476000002</v>
      </c>
      <c r="J36" s="167">
        <f t="shared" si="1"/>
        <v>503847.25523999997</v>
      </c>
      <c r="K36" s="180" t="s">
        <v>238</v>
      </c>
    </row>
    <row r="37" spans="1:11">
      <c r="A37" s="216">
        <v>36</v>
      </c>
      <c r="B37" s="196" t="s">
        <v>67</v>
      </c>
      <c r="C37" s="197" t="s">
        <v>61</v>
      </c>
      <c r="D37" s="198" t="s">
        <v>193</v>
      </c>
      <c r="E37" s="206">
        <v>990440003220</v>
      </c>
      <c r="F37" s="200">
        <v>46142</v>
      </c>
      <c r="G37" s="201">
        <v>2063117.55</v>
      </c>
      <c r="H37" s="152">
        <v>20</v>
      </c>
      <c r="I37" s="181">
        <f t="shared" si="0"/>
        <v>458012.09610000002</v>
      </c>
      <c r="J37" s="167">
        <f t="shared" si="1"/>
        <v>1605105.4539000001</v>
      </c>
      <c r="K37" s="180" t="s">
        <v>238</v>
      </c>
    </row>
    <row r="38" spans="1:11" ht="24">
      <c r="A38" s="216">
        <v>37</v>
      </c>
      <c r="B38" s="196" t="s">
        <v>67</v>
      </c>
      <c r="C38" s="197" t="s">
        <v>61</v>
      </c>
      <c r="D38" s="198" t="s">
        <v>188</v>
      </c>
      <c r="E38" s="206">
        <v>780940000022</v>
      </c>
      <c r="F38" s="200">
        <v>46140</v>
      </c>
      <c r="G38" s="201">
        <v>415840.16</v>
      </c>
      <c r="H38" s="184">
        <v>20</v>
      </c>
      <c r="I38" s="181">
        <f t="shared" si="0"/>
        <v>92316.515520000001</v>
      </c>
      <c r="J38" s="167">
        <f t="shared" si="1"/>
        <v>323523.64447999996</v>
      </c>
      <c r="K38" s="180" t="s">
        <v>238</v>
      </c>
    </row>
    <row r="39" spans="1:11">
      <c r="A39" s="216">
        <v>38</v>
      </c>
      <c r="B39" s="196" t="s">
        <v>66</v>
      </c>
      <c r="C39" s="197" t="s">
        <v>61</v>
      </c>
      <c r="D39" s="198" t="s">
        <v>173</v>
      </c>
      <c r="E39" s="206">
        <v>240840021199</v>
      </c>
      <c r="F39" s="200">
        <v>46135</v>
      </c>
      <c r="G39" s="201">
        <v>265348.5</v>
      </c>
      <c r="H39" s="177">
        <v>0</v>
      </c>
      <c r="I39" s="181">
        <f t="shared" si="0"/>
        <v>0</v>
      </c>
      <c r="J39" s="167">
        <f t="shared" si="1"/>
        <v>265348.5</v>
      </c>
      <c r="K39" s="178" t="s">
        <v>238</v>
      </c>
    </row>
    <row r="40" spans="1:11" ht="35.5">
      <c r="A40" s="216">
        <v>39</v>
      </c>
      <c r="B40" s="196" t="s">
        <v>67</v>
      </c>
      <c r="C40" s="197" t="s">
        <v>61</v>
      </c>
      <c r="D40" s="198" t="s">
        <v>198</v>
      </c>
      <c r="E40" s="206">
        <v>961140000857</v>
      </c>
      <c r="F40" s="200">
        <v>46141</v>
      </c>
      <c r="G40" s="201">
        <v>961301.28</v>
      </c>
      <c r="H40" s="152">
        <v>10</v>
      </c>
      <c r="I40" s="181">
        <f t="shared" si="0"/>
        <v>106704.44208000002</v>
      </c>
      <c r="J40" s="167">
        <f t="shared" si="1"/>
        <v>854596.83791999996</v>
      </c>
      <c r="K40" s="180" t="s">
        <v>237</v>
      </c>
    </row>
    <row r="41" spans="1:11">
      <c r="A41" s="216">
        <v>40</v>
      </c>
      <c r="B41" s="196" t="s">
        <v>67</v>
      </c>
      <c r="C41" s="197" t="s">
        <v>61</v>
      </c>
      <c r="D41" s="198" t="s">
        <v>214</v>
      </c>
      <c r="E41" s="206">
        <v>961140000887</v>
      </c>
      <c r="F41" s="200">
        <v>46142</v>
      </c>
      <c r="G41" s="201">
        <v>579950.12</v>
      </c>
      <c r="H41" s="152">
        <v>10</v>
      </c>
      <c r="I41" s="181">
        <f t="shared" si="0"/>
        <v>64374.46332000001</v>
      </c>
      <c r="J41" s="167">
        <f t="shared" si="1"/>
        <v>515575.65668000001</v>
      </c>
      <c r="K41" s="180" t="s">
        <v>238</v>
      </c>
    </row>
    <row r="42" spans="1:11">
      <c r="A42" s="216">
        <v>41</v>
      </c>
      <c r="B42" s="196" t="s">
        <v>67</v>
      </c>
      <c r="C42" s="197" t="s">
        <v>61</v>
      </c>
      <c r="D42" s="198" t="s">
        <v>194</v>
      </c>
      <c r="E42" s="206">
        <v>990440002916</v>
      </c>
      <c r="F42" s="200">
        <v>46141</v>
      </c>
      <c r="G42" s="201">
        <v>424899.88</v>
      </c>
      <c r="H42" s="184">
        <v>20</v>
      </c>
      <c r="I42" s="181">
        <f t="shared" si="0"/>
        <v>94327.773360000007</v>
      </c>
      <c r="J42" s="167">
        <f t="shared" si="1"/>
        <v>330572.10664000001</v>
      </c>
      <c r="K42" s="180" t="s">
        <v>238</v>
      </c>
    </row>
    <row r="43" spans="1:11">
      <c r="A43" s="216">
        <v>42</v>
      </c>
      <c r="B43" s="196" t="s">
        <v>67</v>
      </c>
      <c r="C43" s="197" t="s">
        <v>61</v>
      </c>
      <c r="D43" s="198" t="s">
        <v>194</v>
      </c>
      <c r="E43" s="206">
        <v>990440002916</v>
      </c>
      <c r="F43" s="200">
        <v>46141</v>
      </c>
      <c r="G43" s="201">
        <v>509879.86</v>
      </c>
      <c r="H43" s="184">
        <v>20</v>
      </c>
      <c r="I43" s="181">
        <f t="shared" si="0"/>
        <v>113193.32892</v>
      </c>
      <c r="J43" s="167">
        <f t="shared" si="1"/>
        <v>396686.53107999999</v>
      </c>
      <c r="K43" s="180" t="s">
        <v>238</v>
      </c>
    </row>
    <row r="44" spans="1:11">
      <c r="A44" s="216">
        <v>43</v>
      </c>
      <c r="B44" s="196" t="s">
        <v>67</v>
      </c>
      <c r="C44" s="197" t="s">
        <v>61</v>
      </c>
      <c r="D44" s="198" t="s">
        <v>194</v>
      </c>
      <c r="E44" s="206">
        <v>990440002916</v>
      </c>
      <c r="F44" s="200">
        <v>46142</v>
      </c>
      <c r="G44" s="201">
        <v>160599.97</v>
      </c>
      <c r="H44" s="152">
        <v>20</v>
      </c>
      <c r="I44" s="181">
        <f t="shared" si="0"/>
        <v>35653.193340000005</v>
      </c>
      <c r="J44" s="167">
        <f t="shared" si="1"/>
        <v>124946.77666</v>
      </c>
      <c r="K44" s="180" t="s">
        <v>238</v>
      </c>
    </row>
    <row r="45" spans="1:11">
      <c r="A45" s="216">
        <v>44</v>
      </c>
      <c r="B45" s="196" t="s">
        <v>67</v>
      </c>
      <c r="C45" s="197" t="s">
        <v>61</v>
      </c>
      <c r="D45" s="198" t="s">
        <v>212</v>
      </c>
      <c r="E45" s="206">
        <v>830240000019</v>
      </c>
      <c r="F45" s="200">
        <v>46142</v>
      </c>
      <c r="G45" s="201">
        <v>326499.40000000002</v>
      </c>
      <c r="H45" s="152">
        <v>20</v>
      </c>
      <c r="I45" s="181">
        <f t="shared" si="0"/>
        <v>72482.866800000003</v>
      </c>
      <c r="J45" s="167">
        <f t="shared" si="1"/>
        <v>254016.53320000001</v>
      </c>
      <c r="K45" s="180" t="s">
        <v>236</v>
      </c>
    </row>
    <row r="46" spans="1:11">
      <c r="A46" s="216">
        <v>45</v>
      </c>
      <c r="B46" s="196" t="s">
        <v>67</v>
      </c>
      <c r="C46" s="197" t="s">
        <v>61</v>
      </c>
      <c r="D46" s="198" t="s">
        <v>212</v>
      </c>
      <c r="E46" s="206">
        <v>830240000019</v>
      </c>
      <c r="F46" s="200">
        <v>46142</v>
      </c>
      <c r="G46" s="201">
        <v>981960.3</v>
      </c>
      <c r="H46" s="152">
        <v>20</v>
      </c>
      <c r="I46" s="181">
        <f t="shared" si="0"/>
        <v>217995.18660000002</v>
      </c>
      <c r="J46" s="167">
        <f t="shared" si="1"/>
        <v>763965.11340000003</v>
      </c>
      <c r="K46" s="180" t="s">
        <v>236</v>
      </c>
    </row>
    <row r="47" spans="1:11">
      <c r="A47" s="216">
        <v>46</v>
      </c>
      <c r="B47" s="196" t="s">
        <v>66</v>
      </c>
      <c r="C47" s="197" t="s">
        <v>61</v>
      </c>
      <c r="D47" s="198" t="s">
        <v>102</v>
      </c>
      <c r="E47" s="206">
        <v>130240021322</v>
      </c>
      <c r="F47" s="200">
        <v>46113</v>
      </c>
      <c r="G47" s="201">
        <v>506519.57</v>
      </c>
      <c r="H47" s="203">
        <v>20</v>
      </c>
      <c r="I47" s="177">
        <f t="shared" si="0"/>
        <v>112447.34454000002</v>
      </c>
      <c r="J47" s="173">
        <f t="shared" si="1"/>
        <v>394072.22545999999</v>
      </c>
      <c r="K47" s="180" t="s">
        <v>237</v>
      </c>
    </row>
    <row r="48" spans="1:11">
      <c r="A48" s="216">
        <v>47</v>
      </c>
      <c r="B48" s="196" t="s">
        <v>67</v>
      </c>
      <c r="C48" s="197" t="s">
        <v>61</v>
      </c>
      <c r="D48" s="198" t="s">
        <v>208</v>
      </c>
      <c r="E48" s="206">
        <v>961140001022</v>
      </c>
      <c r="F48" s="200">
        <v>46142</v>
      </c>
      <c r="G48" s="201">
        <v>129119.83</v>
      </c>
      <c r="H48" s="152">
        <v>0</v>
      </c>
      <c r="I48" s="181">
        <f t="shared" si="0"/>
        <v>0</v>
      </c>
      <c r="J48" s="167">
        <f t="shared" si="1"/>
        <v>129119.83</v>
      </c>
      <c r="K48" s="180" t="s">
        <v>238</v>
      </c>
    </row>
    <row r="49" spans="1:11">
      <c r="A49" s="216">
        <v>48</v>
      </c>
      <c r="B49" s="196" t="s">
        <v>67</v>
      </c>
      <c r="C49" s="197" t="s">
        <v>61</v>
      </c>
      <c r="D49" s="198" t="s">
        <v>208</v>
      </c>
      <c r="E49" s="206">
        <v>961140001022</v>
      </c>
      <c r="F49" s="200">
        <v>46142</v>
      </c>
      <c r="G49" s="201">
        <v>410200.13</v>
      </c>
      <c r="H49" s="152">
        <v>0</v>
      </c>
      <c r="I49" s="181">
        <f t="shared" si="0"/>
        <v>0</v>
      </c>
      <c r="J49" s="167">
        <f t="shared" si="1"/>
        <v>410200.13</v>
      </c>
      <c r="K49" s="180" t="s">
        <v>238</v>
      </c>
    </row>
    <row r="50" spans="1:11">
      <c r="A50" s="216">
        <v>49</v>
      </c>
      <c r="B50" s="196" t="s">
        <v>66</v>
      </c>
      <c r="C50" s="197" t="s">
        <v>61</v>
      </c>
      <c r="D50" s="198" t="s">
        <v>220</v>
      </c>
      <c r="E50" s="206">
        <v>990440004167</v>
      </c>
      <c r="F50" s="200">
        <v>46142</v>
      </c>
      <c r="G50" s="201">
        <v>330120.45</v>
      </c>
      <c r="H50" s="152">
        <v>20</v>
      </c>
      <c r="I50" s="181">
        <f t="shared" si="0"/>
        <v>73286.7399</v>
      </c>
      <c r="J50" s="167">
        <f t="shared" si="1"/>
        <v>256833.71010000003</v>
      </c>
      <c r="K50" s="180" t="s">
        <v>236</v>
      </c>
    </row>
    <row r="51" spans="1:11">
      <c r="A51" s="216">
        <v>50</v>
      </c>
      <c r="B51" s="196" t="s">
        <v>66</v>
      </c>
      <c r="C51" s="197" t="s">
        <v>61</v>
      </c>
      <c r="D51" s="198" t="s">
        <v>222</v>
      </c>
      <c r="E51" s="206">
        <v>990440003479</v>
      </c>
      <c r="F51" s="200">
        <v>46142</v>
      </c>
      <c r="G51" s="201">
        <v>349999.84</v>
      </c>
      <c r="H51" s="152">
        <v>0</v>
      </c>
      <c r="I51" s="181">
        <f t="shared" si="0"/>
        <v>0</v>
      </c>
      <c r="J51" s="167">
        <f t="shared" si="1"/>
        <v>349999.84</v>
      </c>
      <c r="K51" s="180" t="s">
        <v>236</v>
      </c>
    </row>
    <row r="52" spans="1:11">
      <c r="A52" s="216">
        <v>51</v>
      </c>
      <c r="B52" s="196" t="s">
        <v>67</v>
      </c>
      <c r="C52" s="197" t="s">
        <v>61</v>
      </c>
      <c r="D52" s="198" t="s">
        <v>161</v>
      </c>
      <c r="E52" s="206">
        <v>990440003667</v>
      </c>
      <c r="F52" s="200">
        <v>46134</v>
      </c>
      <c r="G52" s="201">
        <v>212499.82</v>
      </c>
      <c r="H52" s="203">
        <v>20</v>
      </c>
      <c r="I52" s="177">
        <f t="shared" si="0"/>
        <v>47174.960040000013</v>
      </c>
      <c r="J52" s="173">
        <f t="shared" si="1"/>
        <v>165324.85996</v>
      </c>
      <c r="K52" s="183" t="s">
        <v>236</v>
      </c>
    </row>
    <row r="53" spans="1:11">
      <c r="A53" s="216">
        <v>52</v>
      </c>
      <c r="B53" s="196" t="s">
        <v>67</v>
      </c>
      <c r="C53" s="197" t="s">
        <v>61</v>
      </c>
      <c r="D53" s="198" t="s">
        <v>161</v>
      </c>
      <c r="E53" s="206">
        <v>990440003667</v>
      </c>
      <c r="F53" s="200">
        <v>46134</v>
      </c>
      <c r="G53" s="201">
        <v>359050.39</v>
      </c>
      <c r="H53" s="181">
        <v>20</v>
      </c>
      <c r="I53" s="177">
        <f t="shared" si="0"/>
        <v>79709.186580000023</v>
      </c>
      <c r="J53" s="173">
        <f t="shared" si="1"/>
        <v>279341.20341999998</v>
      </c>
      <c r="K53" s="183" t="s">
        <v>236</v>
      </c>
    </row>
    <row r="54" spans="1:11">
      <c r="A54" s="216">
        <v>53</v>
      </c>
      <c r="B54" s="196" t="s">
        <v>66</v>
      </c>
      <c r="C54" s="197" t="s">
        <v>61</v>
      </c>
      <c r="D54" s="198" t="s">
        <v>161</v>
      </c>
      <c r="E54" s="206">
        <v>990440003667</v>
      </c>
      <c r="F54" s="200">
        <v>46134</v>
      </c>
      <c r="G54" s="201">
        <v>663250.18000000005</v>
      </c>
      <c r="H54" s="181">
        <v>20</v>
      </c>
      <c r="I54" s="181">
        <f t="shared" si="0"/>
        <v>147241.53996000002</v>
      </c>
      <c r="J54" s="175">
        <f t="shared" si="1"/>
        <v>516008.64004000003</v>
      </c>
      <c r="K54" s="178" t="s">
        <v>236</v>
      </c>
    </row>
    <row r="55" spans="1:11" ht="24">
      <c r="A55" s="216">
        <v>54</v>
      </c>
      <c r="B55" s="196" t="s">
        <v>67</v>
      </c>
      <c r="C55" s="197" t="s">
        <v>61</v>
      </c>
      <c r="D55" s="198" t="s">
        <v>124</v>
      </c>
      <c r="E55" s="206">
        <v>31240003009</v>
      </c>
      <c r="F55" s="200">
        <v>46119</v>
      </c>
      <c r="G55" s="201">
        <v>148100</v>
      </c>
      <c r="H55" s="184">
        <v>20</v>
      </c>
      <c r="I55" s="172">
        <f t="shared" si="0"/>
        <v>32878.200000000004</v>
      </c>
      <c r="J55" s="173">
        <f t="shared" si="1"/>
        <v>115221.79999999999</v>
      </c>
      <c r="K55" s="178" t="s">
        <v>236</v>
      </c>
    </row>
    <row r="56" spans="1:11" ht="24">
      <c r="A56" s="216">
        <v>55</v>
      </c>
      <c r="B56" s="196" t="s">
        <v>67</v>
      </c>
      <c r="C56" s="197" t="s">
        <v>61</v>
      </c>
      <c r="D56" s="198" t="s">
        <v>124</v>
      </c>
      <c r="E56" s="206">
        <v>31240003009</v>
      </c>
      <c r="F56" s="200">
        <v>46119</v>
      </c>
      <c r="G56" s="201">
        <v>432334.7</v>
      </c>
      <c r="H56" s="184">
        <v>20</v>
      </c>
      <c r="I56" s="177">
        <f t="shared" si="0"/>
        <v>95978.303400000004</v>
      </c>
      <c r="J56" s="173">
        <f t="shared" si="1"/>
        <v>336356.39659999998</v>
      </c>
      <c r="K56" s="178" t="s">
        <v>236</v>
      </c>
    </row>
    <row r="57" spans="1:11" ht="24">
      <c r="A57" s="216">
        <v>56</v>
      </c>
      <c r="B57" s="196" t="s">
        <v>66</v>
      </c>
      <c r="C57" s="197" t="s">
        <v>61</v>
      </c>
      <c r="D57" s="198" t="s">
        <v>124</v>
      </c>
      <c r="E57" s="206">
        <v>31240003009</v>
      </c>
      <c r="F57" s="200">
        <v>46119</v>
      </c>
      <c r="G57" s="201">
        <v>82800</v>
      </c>
      <c r="H57" s="184">
        <v>20</v>
      </c>
      <c r="I57" s="177">
        <f t="shared" si="0"/>
        <v>18381.600000000002</v>
      </c>
      <c r="J57" s="173">
        <f t="shared" si="1"/>
        <v>64418.399999999994</v>
      </c>
      <c r="K57" s="178" t="s">
        <v>236</v>
      </c>
    </row>
    <row r="58" spans="1:11" ht="24">
      <c r="A58" s="216">
        <v>57</v>
      </c>
      <c r="B58" s="196" t="s">
        <v>66</v>
      </c>
      <c r="C58" s="197" t="s">
        <v>61</v>
      </c>
      <c r="D58" s="198" t="s">
        <v>124</v>
      </c>
      <c r="E58" s="206">
        <v>31240003009</v>
      </c>
      <c r="F58" s="200">
        <v>46119</v>
      </c>
      <c r="G58" s="201">
        <v>299600</v>
      </c>
      <c r="H58" s="184">
        <v>20</v>
      </c>
      <c r="I58" s="177">
        <f t="shared" si="0"/>
        <v>66511.200000000012</v>
      </c>
      <c r="J58" s="173">
        <f t="shared" si="1"/>
        <v>233088.8</v>
      </c>
      <c r="K58" s="178" t="s">
        <v>236</v>
      </c>
    </row>
    <row r="59" spans="1:11">
      <c r="A59" s="216">
        <v>58</v>
      </c>
      <c r="B59" s="196" t="s">
        <v>67</v>
      </c>
      <c r="C59" s="197" t="s">
        <v>61</v>
      </c>
      <c r="D59" s="198" t="s">
        <v>211</v>
      </c>
      <c r="E59" s="206">
        <v>990440003072</v>
      </c>
      <c r="F59" s="200">
        <v>46142</v>
      </c>
      <c r="G59" s="201">
        <v>278200.48</v>
      </c>
      <c r="H59" s="152">
        <v>20</v>
      </c>
      <c r="I59" s="181">
        <f t="shared" si="0"/>
        <v>61760.506560000002</v>
      </c>
      <c r="J59" s="167">
        <f t="shared" si="1"/>
        <v>216439.97343999997</v>
      </c>
      <c r="K59" s="180" t="s">
        <v>236</v>
      </c>
    </row>
    <row r="60" spans="1:11">
      <c r="A60" s="216">
        <v>59</v>
      </c>
      <c r="B60" s="196" t="s">
        <v>66</v>
      </c>
      <c r="C60" s="197" t="s">
        <v>61</v>
      </c>
      <c r="D60" s="198" t="s">
        <v>87</v>
      </c>
      <c r="E60" s="206">
        <v>930140000988</v>
      </c>
      <c r="F60" s="200">
        <v>46115</v>
      </c>
      <c r="G60" s="201">
        <v>18478.8</v>
      </c>
      <c r="H60" s="203">
        <v>0</v>
      </c>
      <c r="I60" s="171">
        <f t="shared" si="0"/>
        <v>0</v>
      </c>
      <c r="J60" s="175">
        <f t="shared" si="1"/>
        <v>18478.8</v>
      </c>
      <c r="K60" s="183" t="s">
        <v>13</v>
      </c>
    </row>
    <row r="61" spans="1:11">
      <c r="A61" s="216">
        <v>60</v>
      </c>
      <c r="B61" s="196" t="s">
        <v>66</v>
      </c>
      <c r="C61" s="197" t="s">
        <v>61</v>
      </c>
      <c r="D61" s="198" t="s">
        <v>87</v>
      </c>
      <c r="E61" s="206">
        <v>930140000988</v>
      </c>
      <c r="F61" s="200">
        <v>46115</v>
      </c>
      <c r="G61" s="201">
        <v>368648</v>
      </c>
      <c r="H61" s="184">
        <v>0</v>
      </c>
      <c r="I61" s="177">
        <f t="shared" si="0"/>
        <v>0</v>
      </c>
      <c r="J61" s="173">
        <f t="shared" si="1"/>
        <v>368648</v>
      </c>
      <c r="K61" s="180" t="s">
        <v>13</v>
      </c>
    </row>
    <row r="62" spans="1:11">
      <c r="A62" s="216">
        <v>61</v>
      </c>
      <c r="B62" s="196" t="s">
        <v>67</v>
      </c>
      <c r="C62" s="197" t="s">
        <v>61</v>
      </c>
      <c r="D62" s="198" t="s">
        <v>189</v>
      </c>
      <c r="E62" s="206">
        <v>990440003598</v>
      </c>
      <c r="F62" s="200">
        <v>46140</v>
      </c>
      <c r="G62" s="201">
        <v>1195649.7</v>
      </c>
      <c r="H62" s="184">
        <v>20</v>
      </c>
      <c r="I62" s="181">
        <f t="shared" si="0"/>
        <v>265434.23340000003</v>
      </c>
      <c r="J62" s="167">
        <f t="shared" si="1"/>
        <v>930215.46659999993</v>
      </c>
      <c r="K62" s="180" t="s">
        <v>238</v>
      </c>
    </row>
    <row r="63" spans="1:11">
      <c r="A63" s="216">
        <v>62</v>
      </c>
      <c r="B63" s="196" t="s">
        <v>66</v>
      </c>
      <c r="C63" s="197" t="s">
        <v>61</v>
      </c>
      <c r="D63" s="198" t="s">
        <v>189</v>
      </c>
      <c r="E63" s="206">
        <v>990440003598</v>
      </c>
      <c r="F63" s="200">
        <v>46140</v>
      </c>
      <c r="G63" s="201">
        <v>637349.81999999995</v>
      </c>
      <c r="H63" s="184">
        <v>20</v>
      </c>
      <c r="I63" s="181">
        <f t="shared" si="0"/>
        <v>141491.66003999999</v>
      </c>
      <c r="J63" s="167">
        <f t="shared" si="1"/>
        <v>495858.15995999996</v>
      </c>
      <c r="K63" s="180" t="s">
        <v>238</v>
      </c>
    </row>
    <row r="64" spans="1:11">
      <c r="A64" s="216">
        <v>63</v>
      </c>
      <c r="B64" s="196" t="s">
        <v>67</v>
      </c>
      <c r="C64" s="197" t="s">
        <v>61</v>
      </c>
      <c r="D64" s="198" t="s">
        <v>189</v>
      </c>
      <c r="E64" s="206">
        <v>990440003598</v>
      </c>
      <c r="F64" s="200">
        <v>46142</v>
      </c>
      <c r="G64" s="201">
        <v>409350.08</v>
      </c>
      <c r="H64" s="152">
        <v>20</v>
      </c>
      <c r="I64" s="181">
        <f t="shared" si="0"/>
        <v>90875.717760000014</v>
      </c>
      <c r="J64" s="167">
        <f t="shared" si="1"/>
        <v>318474.36223999999</v>
      </c>
      <c r="K64" s="180" t="s">
        <v>238</v>
      </c>
    </row>
    <row r="65" spans="1:11">
      <c r="A65" s="216">
        <v>64</v>
      </c>
      <c r="B65" s="196" t="s">
        <v>67</v>
      </c>
      <c r="C65" s="197" t="s">
        <v>61</v>
      </c>
      <c r="D65" s="198" t="s">
        <v>149</v>
      </c>
      <c r="E65" s="206">
        <v>961140000341</v>
      </c>
      <c r="F65" s="200">
        <v>46128</v>
      </c>
      <c r="G65" s="201">
        <v>348199</v>
      </c>
      <c r="H65" s="204">
        <v>10</v>
      </c>
      <c r="I65" s="177">
        <f t="shared" si="0"/>
        <v>38650.089000000007</v>
      </c>
      <c r="J65" s="173">
        <f t="shared" si="1"/>
        <v>309548.91099999996</v>
      </c>
      <c r="K65" s="178" t="s">
        <v>237</v>
      </c>
    </row>
    <row r="66" spans="1:11">
      <c r="A66" s="216">
        <v>65</v>
      </c>
      <c r="B66" s="196" t="s">
        <v>67</v>
      </c>
      <c r="C66" s="197" t="s">
        <v>61</v>
      </c>
      <c r="D66" s="198" t="s">
        <v>111</v>
      </c>
      <c r="E66" s="206">
        <v>220840011148</v>
      </c>
      <c r="F66" s="200">
        <v>46114</v>
      </c>
      <c r="G66" s="201">
        <v>616200.12</v>
      </c>
      <c r="H66" s="181">
        <v>20</v>
      </c>
      <c r="I66" s="177">
        <f t="shared" ref="I66:I129" si="2">((G66*H66)/100)*1.11</f>
        <v>136796.42664000002</v>
      </c>
      <c r="J66" s="173">
        <f t="shared" ref="J66:J129" si="3">G66-I66</f>
        <v>479403.69335999998</v>
      </c>
      <c r="K66" s="180" t="s">
        <v>237</v>
      </c>
    </row>
    <row r="67" spans="1:11">
      <c r="A67" s="216">
        <v>66</v>
      </c>
      <c r="B67" s="196" t="s">
        <v>66</v>
      </c>
      <c r="C67" s="197" t="s">
        <v>61</v>
      </c>
      <c r="D67" s="198" t="s">
        <v>111</v>
      </c>
      <c r="E67" s="206">
        <v>220840011148</v>
      </c>
      <c r="F67" s="200">
        <v>46114</v>
      </c>
      <c r="G67" s="201">
        <v>254880</v>
      </c>
      <c r="H67" s="181">
        <v>20</v>
      </c>
      <c r="I67" s="177">
        <f t="shared" si="2"/>
        <v>56583.360000000008</v>
      </c>
      <c r="J67" s="173">
        <f t="shared" si="3"/>
        <v>198296.63999999998</v>
      </c>
      <c r="K67" s="180" t="s">
        <v>237</v>
      </c>
    </row>
    <row r="68" spans="1:11">
      <c r="A68" s="216">
        <v>67</v>
      </c>
      <c r="B68" s="196" t="s">
        <v>67</v>
      </c>
      <c r="C68" s="197" t="s">
        <v>61</v>
      </c>
      <c r="D68" s="198" t="s">
        <v>111</v>
      </c>
      <c r="E68" s="206">
        <v>220840011148</v>
      </c>
      <c r="F68" s="200">
        <v>46120</v>
      </c>
      <c r="G68" s="201">
        <v>266579.14</v>
      </c>
      <c r="H68" s="184">
        <v>20</v>
      </c>
      <c r="I68" s="181">
        <f t="shared" si="2"/>
        <v>59180.569080000016</v>
      </c>
      <c r="J68" s="175">
        <f t="shared" si="3"/>
        <v>207398.57092</v>
      </c>
      <c r="K68" s="180" t="s">
        <v>237</v>
      </c>
    </row>
    <row r="69" spans="1:11">
      <c r="A69" s="216">
        <v>68</v>
      </c>
      <c r="B69" s="196" t="s">
        <v>67</v>
      </c>
      <c r="C69" s="197" t="s">
        <v>61</v>
      </c>
      <c r="D69" s="198" t="s">
        <v>115</v>
      </c>
      <c r="E69" s="206">
        <v>961140001002</v>
      </c>
      <c r="F69" s="200">
        <v>46115</v>
      </c>
      <c r="G69" s="201">
        <v>330199.8</v>
      </c>
      <c r="H69" s="203">
        <v>20</v>
      </c>
      <c r="I69" s="177">
        <f t="shared" si="2"/>
        <v>73304.35560000001</v>
      </c>
      <c r="J69" s="173">
        <f t="shared" si="3"/>
        <v>256895.44439999998</v>
      </c>
      <c r="K69" s="183" t="s">
        <v>237</v>
      </c>
    </row>
    <row r="70" spans="1:11">
      <c r="A70" s="216">
        <v>69</v>
      </c>
      <c r="B70" s="196" t="s">
        <v>67</v>
      </c>
      <c r="C70" s="197" t="s">
        <v>61</v>
      </c>
      <c r="D70" s="198" t="s">
        <v>165</v>
      </c>
      <c r="E70" s="206">
        <v>961140000936</v>
      </c>
      <c r="F70" s="200">
        <v>46134</v>
      </c>
      <c r="G70" s="201">
        <v>630001.80000000005</v>
      </c>
      <c r="H70" s="181">
        <v>20</v>
      </c>
      <c r="I70" s="181">
        <f t="shared" si="2"/>
        <v>139860.3996</v>
      </c>
      <c r="J70" s="175">
        <f t="shared" si="3"/>
        <v>490141.40040000004</v>
      </c>
      <c r="K70" s="180" t="s">
        <v>238</v>
      </c>
    </row>
    <row r="71" spans="1:11">
      <c r="A71" s="216">
        <v>70</v>
      </c>
      <c r="B71" s="196" t="s">
        <v>67</v>
      </c>
      <c r="C71" s="197" t="s">
        <v>61</v>
      </c>
      <c r="D71" s="198" t="s">
        <v>165</v>
      </c>
      <c r="E71" s="206">
        <v>961140000936</v>
      </c>
      <c r="F71" s="200">
        <v>46135</v>
      </c>
      <c r="G71" s="201">
        <v>2182500.7200000002</v>
      </c>
      <c r="H71" s="181">
        <v>20</v>
      </c>
      <c r="I71" s="177">
        <f t="shared" si="2"/>
        <v>484515.15984000015</v>
      </c>
      <c r="J71" s="167">
        <f t="shared" si="3"/>
        <v>1697985.5601600001</v>
      </c>
      <c r="K71" s="178" t="s">
        <v>238</v>
      </c>
    </row>
    <row r="72" spans="1:11">
      <c r="A72" s="216">
        <v>71</v>
      </c>
      <c r="B72" s="196" t="s">
        <v>66</v>
      </c>
      <c r="C72" s="197" t="s">
        <v>61</v>
      </c>
      <c r="D72" s="198" t="s">
        <v>165</v>
      </c>
      <c r="E72" s="206">
        <v>961140000936</v>
      </c>
      <c r="F72" s="200">
        <v>46135</v>
      </c>
      <c r="G72" s="201">
        <v>189400.16</v>
      </c>
      <c r="H72" s="181">
        <v>20</v>
      </c>
      <c r="I72" s="181">
        <f t="shared" si="2"/>
        <v>42046.835520000001</v>
      </c>
      <c r="J72" s="166">
        <f t="shared" si="3"/>
        <v>147353.32448000001</v>
      </c>
      <c r="K72" s="178" t="s">
        <v>238</v>
      </c>
    </row>
    <row r="73" spans="1:11">
      <c r="A73" s="216">
        <v>72</v>
      </c>
      <c r="B73" s="196" t="s">
        <v>66</v>
      </c>
      <c r="C73" s="197" t="s">
        <v>61</v>
      </c>
      <c r="D73" s="198" t="s">
        <v>165</v>
      </c>
      <c r="E73" s="206">
        <v>961140000936</v>
      </c>
      <c r="F73" s="200">
        <v>46135</v>
      </c>
      <c r="G73" s="201">
        <v>924702.12</v>
      </c>
      <c r="H73" s="177">
        <v>20</v>
      </c>
      <c r="I73" s="177">
        <f t="shared" si="2"/>
        <v>205283.87064000001</v>
      </c>
      <c r="J73" s="167">
        <f t="shared" si="3"/>
        <v>719418.24936000002</v>
      </c>
      <c r="K73" s="180" t="s">
        <v>238</v>
      </c>
    </row>
    <row r="74" spans="1:11">
      <c r="A74" s="216">
        <v>73</v>
      </c>
      <c r="B74" s="196" t="s">
        <v>67</v>
      </c>
      <c r="C74" s="197" t="s">
        <v>61</v>
      </c>
      <c r="D74" s="198" t="s">
        <v>147</v>
      </c>
      <c r="E74" s="206">
        <v>961140000798</v>
      </c>
      <c r="F74" s="200">
        <v>46128</v>
      </c>
      <c r="G74" s="201">
        <v>26378</v>
      </c>
      <c r="H74" s="181">
        <v>15</v>
      </c>
      <c r="I74" s="181">
        <f t="shared" si="2"/>
        <v>4391.9369999999999</v>
      </c>
      <c r="J74" s="175">
        <f t="shared" si="3"/>
        <v>21986.063000000002</v>
      </c>
      <c r="K74" s="183" t="s">
        <v>236</v>
      </c>
    </row>
    <row r="75" spans="1:11">
      <c r="A75" s="216">
        <v>74</v>
      </c>
      <c r="B75" s="196" t="s">
        <v>67</v>
      </c>
      <c r="C75" s="197" t="s">
        <v>61</v>
      </c>
      <c r="D75" s="198" t="s">
        <v>97</v>
      </c>
      <c r="E75" s="206">
        <v>990440003250</v>
      </c>
      <c r="F75" s="200">
        <v>46129</v>
      </c>
      <c r="G75" s="201">
        <v>1121880.08</v>
      </c>
      <c r="H75" s="203">
        <v>20</v>
      </c>
      <c r="I75" s="177">
        <f t="shared" si="2"/>
        <v>249057.37776000003</v>
      </c>
      <c r="J75" s="173">
        <f t="shared" si="3"/>
        <v>872822.70224000001</v>
      </c>
      <c r="K75" s="178" t="s">
        <v>237</v>
      </c>
    </row>
    <row r="76" spans="1:11">
      <c r="A76" s="216">
        <v>75</v>
      </c>
      <c r="B76" s="196" t="s">
        <v>66</v>
      </c>
      <c r="C76" s="197" t="s">
        <v>61</v>
      </c>
      <c r="D76" s="198" t="s">
        <v>97</v>
      </c>
      <c r="E76" s="206">
        <v>990440003250</v>
      </c>
      <c r="F76" s="200">
        <v>46140</v>
      </c>
      <c r="G76" s="201">
        <v>4210</v>
      </c>
      <c r="H76" s="184">
        <v>20</v>
      </c>
      <c r="I76" s="181">
        <f t="shared" si="2"/>
        <v>934.62000000000012</v>
      </c>
      <c r="J76" s="167">
        <f t="shared" si="3"/>
        <v>3275.38</v>
      </c>
      <c r="K76" s="180" t="s">
        <v>237</v>
      </c>
    </row>
    <row r="77" spans="1:11">
      <c r="A77" s="216">
        <v>76</v>
      </c>
      <c r="B77" s="196" t="s">
        <v>67</v>
      </c>
      <c r="C77" s="197" t="s">
        <v>61</v>
      </c>
      <c r="D77" s="198" t="s">
        <v>117</v>
      </c>
      <c r="E77" s="206">
        <v>90340002459</v>
      </c>
      <c r="F77" s="200">
        <v>46115</v>
      </c>
      <c r="G77" s="201">
        <v>765390.5</v>
      </c>
      <c r="H77" s="203">
        <v>20</v>
      </c>
      <c r="I77" s="177">
        <f t="shared" si="2"/>
        <v>169916.69100000002</v>
      </c>
      <c r="J77" s="173">
        <f t="shared" si="3"/>
        <v>595473.80900000001</v>
      </c>
      <c r="K77" s="180" t="s">
        <v>237</v>
      </c>
    </row>
    <row r="78" spans="1:11">
      <c r="A78" s="216">
        <v>77</v>
      </c>
      <c r="B78" s="196" t="s">
        <v>66</v>
      </c>
      <c r="C78" s="197" t="s">
        <v>61</v>
      </c>
      <c r="D78" s="198" t="s">
        <v>117</v>
      </c>
      <c r="E78" s="206">
        <v>90340002459</v>
      </c>
      <c r="F78" s="200">
        <v>46133</v>
      </c>
      <c r="G78" s="201">
        <v>2087700.72</v>
      </c>
      <c r="H78" s="181">
        <v>20</v>
      </c>
      <c r="I78" s="177">
        <f t="shared" si="2"/>
        <v>463469.55984</v>
      </c>
      <c r="J78" s="173">
        <f t="shared" si="3"/>
        <v>1624231.16016</v>
      </c>
      <c r="K78" s="183" t="s">
        <v>237</v>
      </c>
    </row>
    <row r="79" spans="1:11">
      <c r="A79" s="216">
        <v>78</v>
      </c>
      <c r="B79" s="196" t="s">
        <v>67</v>
      </c>
      <c r="C79" s="197" t="s">
        <v>61</v>
      </c>
      <c r="D79" s="198" t="s">
        <v>183</v>
      </c>
      <c r="E79" s="206">
        <v>990440002946</v>
      </c>
      <c r="F79" s="200">
        <v>46139</v>
      </c>
      <c r="G79" s="201">
        <v>678359.86</v>
      </c>
      <c r="H79" s="184">
        <v>20</v>
      </c>
      <c r="I79" s="181">
        <f t="shared" si="2"/>
        <v>150595.88892</v>
      </c>
      <c r="J79" s="166">
        <f t="shared" si="3"/>
        <v>527763.97108000005</v>
      </c>
      <c r="K79" s="180" t="s">
        <v>236</v>
      </c>
    </row>
    <row r="80" spans="1:11">
      <c r="A80" s="216">
        <v>79</v>
      </c>
      <c r="B80" s="196" t="s">
        <v>66</v>
      </c>
      <c r="C80" s="197" t="s">
        <v>61</v>
      </c>
      <c r="D80" s="198" t="s">
        <v>183</v>
      </c>
      <c r="E80" s="206">
        <v>990440002946</v>
      </c>
      <c r="F80" s="200">
        <v>46139</v>
      </c>
      <c r="G80" s="201">
        <v>75479.81</v>
      </c>
      <c r="H80" s="184">
        <v>20</v>
      </c>
      <c r="I80" s="181">
        <f t="shared" si="2"/>
        <v>16756.517820000001</v>
      </c>
      <c r="J80" s="166">
        <f t="shared" si="3"/>
        <v>58723.292179999997</v>
      </c>
      <c r="K80" s="180" t="s">
        <v>236</v>
      </c>
    </row>
    <row r="81" spans="1:11">
      <c r="A81" s="216">
        <v>80</v>
      </c>
      <c r="B81" s="196" t="s">
        <v>67</v>
      </c>
      <c r="C81" s="197" t="s">
        <v>61</v>
      </c>
      <c r="D81" s="198" t="s">
        <v>183</v>
      </c>
      <c r="E81" s="206">
        <v>990440002946</v>
      </c>
      <c r="F81" s="200">
        <v>46141</v>
      </c>
      <c r="G81" s="201">
        <v>591399.9</v>
      </c>
      <c r="H81" s="184">
        <v>20</v>
      </c>
      <c r="I81" s="181">
        <f t="shared" si="2"/>
        <v>131290.77780000001</v>
      </c>
      <c r="J81" s="167">
        <f t="shared" si="3"/>
        <v>460109.12219999998</v>
      </c>
      <c r="K81" s="180" t="s">
        <v>236</v>
      </c>
    </row>
    <row r="82" spans="1:11">
      <c r="A82" s="216">
        <v>81</v>
      </c>
      <c r="B82" s="196" t="s">
        <v>67</v>
      </c>
      <c r="C82" s="197" t="s">
        <v>61</v>
      </c>
      <c r="D82" s="198" t="s">
        <v>183</v>
      </c>
      <c r="E82" s="206">
        <v>990440002946</v>
      </c>
      <c r="F82" s="200">
        <v>46142</v>
      </c>
      <c r="G82" s="201">
        <v>300</v>
      </c>
      <c r="H82" s="152">
        <v>20</v>
      </c>
      <c r="I82" s="181">
        <f t="shared" si="2"/>
        <v>66.600000000000009</v>
      </c>
      <c r="J82" s="167">
        <f t="shared" si="3"/>
        <v>233.39999999999998</v>
      </c>
      <c r="K82" s="180" t="s">
        <v>236</v>
      </c>
    </row>
    <row r="83" spans="1:11">
      <c r="A83" s="216">
        <v>82</v>
      </c>
      <c r="B83" s="196" t="s">
        <v>67</v>
      </c>
      <c r="C83" s="197" t="s">
        <v>61</v>
      </c>
      <c r="D83" s="198" t="s">
        <v>217</v>
      </c>
      <c r="E83" s="206">
        <v>990440002827</v>
      </c>
      <c r="F83" s="200">
        <v>46142</v>
      </c>
      <c r="G83" s="201">
        <v>828851.32</v>
      </c>
      <c r="H83" s="152">
        <v>20</v>
      </c>
      <c r="I83" s="181">
        <f t="shared" si="2"/>
        <v>184004.99304</v>
      </c>
      <c r="J83" s="167">
        <f t="shared" si="3"/>
        <v>644846.32695999998</v>
      </c>
      <c r="K83" s="180" t="s">
        <v>238</v>
      </c>
    </row>
    <row r="84" spans="1:11">
      <c r="A84" s="216">
        <v>83</v>
      </c>
      <c r="B84" s="196" t="s">
        <v>67</v>
      </c>
      <c r="C84" s="197" t="s">
        <v>61</v>
      </c>
      <c r="D84" s="198" t="s">
        <v>217</v>
      </c>
      <c r="E84" s="206">
        <v>990440002827</v>
      </c>
      <c r="F84" s="200">
        <v>46142</v>
      </c>
      <c r="G84" s="201">
        <v>2986068.29</v>
      </c>
      <c r="H84" s="152">
        <v>20</v>
      </c>
      <c r="I84" s="181">
        <f t="shared" si="2"/>
        <v>662907.16038000002</v>
      </c>
      <c r="J84" s="167">
        <f t="shared" si="3"/>
        <v>2323161.1296199998</v>
      </c>
      <c r="K84" s="180" t="s">
        <v>238</v>
      </c>
    </row>
    <row r="85" spans="1:11">
      <c r="A85" s="216">
        <v>84</v>
      </c>
      <c r="B85" s="196" t="s">
        <v>66</v>
      </c>
      <c r="C85" s="197" t="s">
        <v>61</v>
      </c>
      <c r="D85" s="198" t="s">
        <v>217</v>
      </c>
      <c r="E85" s="206">
        <v>990440002827</v>
      </c>
      <c r="F85" s="200">
        <v>46142</v>
      </c>
      <c r="G85" s="201">
        <v>1854603.36</v>
      </c>
      <c r="H85" s="152">
        <v>20</v>
      </c>
      <c r="I85" s="181">
        <f t="shared" si="2"/>
        <v>411721.94592000009</v>
      </c>
      <c r="J85" s="167">
        <f t="shared" si="3"/>
        <v>1442881.41408</v>
      </c>
      <c r="K85" s="180" t="s">
        <v>238</v>
      </c>
    </row>
    <row r="86" spans="1:11">
      <c r="A86" s="216">
        <v>85</v>
      </c>
      <c r="B86" s="196" t="s">
        <v>67</v>
      </c>
      <c r="C86" s="197" t="s">
        <v>61</v>
      </c>
      <c r="D86" s="198" t="s">
        <v>185</v>
      </c>
      <c r="E86" s="206">
        <v>990440003697</v>
      </c>
      <c r="F86" s="200">
        <v>46140</v>
      </c>
      <c r="G86" s="201">
        <v>61919.87</v>
      </c>
      <c r="H86" s="203">
        <v>20</v>
      </c>
      <c r="I86" s="181">
        <f t="shared" si="2"/>
        <v>13746.211140000003</v>
      </c>
      <c r="J86" s="167">
        <f t="shared" si="3"/>
        <v>48173.658859999996</v>
      </c>
      <c r="K86" s="180" t="s">
        <v>236</v>
      </c>
    </row>
    <row r="87" spans="1:11">
      <c r="A87" s="216">
        <v>86</v>
      </c>
      <c r="B87" s="196" t="s">
        <v>66</v>
      </c>
      <c r="C87" s="197" t="s">
        <v>61</v>
      </c>
      <c r="D87" s="198" t="s">
        <v>201</v>
      </c>
      <c r="E87" s="206">
        <v>990440003706</v>
      </c>
      <c r="F87" s="200">
        <v>46141</v>
      </c>
      <c r="G87" s="201">
        <v>379525.2</v>
      </c>
      <c r="H87" s="152">
        <v>20</v>
      </c>
      <c r="I87" s="181">
        <f t="shared" si="2"/>
        <v>84254.594400000002</v>
      </c>
      <c r="J87" s="167">
        <f t="shared" si="3"/>
        <v>295270.60560000001</v>
      </c>
      <c r="K87" s="180" t="s">
        <v>237</v>
      </c>
    </row>
    <row r="88" spans="1:11">
      <c r="A88" s="216">
        <v>87</v>
      </c>
      <c r="B88" s="196" t="s">
        <v>67</v>
      </c>
      <c r="C88" s="197" t="s">
        <v>61</v>
      </c>
      <c r="D88" s="198" t="s">
        <v>201</v>
      </c>
      <c r="E88" s="206">
        <v>990440003706</v>
      </c>
      <c r="F88" s="200">
        <v>46142</v>
      </c>
      <c r="G88" s="201">
        <v>866202.16</v>
      </c>
      <c r="H88" s="152">
        <v>20</v>
      </c>
      <c r="I88" s="181">
        <f t="shared" si="2"/>
        <v>192296.87952000002</v>
      </c>
      <c r="J88" s="167">
        <f t="shared" si="3"/>
        <v>673905.28047999996</v>
      </c>
      <c r="K88" s="180" t="s">
        <v>237</v>
      </c>
    </row>
    <row r="89" spans="1:11">
      <c r="A89" s="216">
        <v>88</v>
      </c>
      <c r="B89" s="196" t="s">
        <v>67</v>
      </c>
      <c r="C89" s="197" t="s">
        <v>61</v>
      </c>
      <c r="D89" s="198" t="s">
        <v>120</v>
      </c>
      <c r="E89" s="206">
        <v>961240001254</v>
      </c>
      <c r="F89" s="200">
        <v>46118</v>
      </c>
      <c r="G89" s="201">
        <v>23190</v>
      </c>
      <c r="H89" s="184">
        <v>0</v>
      </c>
      <c r="I89" s="177">
        <f t="shared" si="2"/>
        <v>0</v>
      </c>
      <c r="J89" s="173">
        <f t="shared" si="3"/>
        <v>23190</v>
      </c>
      <c r="K89" s="180" t="s">
        <v>238</v>
      </c>
    </row>
    <row r="90" spans="1:11">
      <c r="A90" s="216">
        <v>89</v>
      </c>
      <c r="B90" s="196" t="s">
        <v>67</v>
      </c>
      <c r="C90" s="197" t="s">
        <v>61</v>
      </c>
      <c r="D90" s="198" t="s">
        <v>120</v>
      </c>
      <c r="E90" s="206">
        <v>961240001254</v>
      </c>
      <c r="F90" s="200">
        <v>46118</v>
      </c>
      <c r="G90" s="201">
        <v>57950</v>
      </c>
      <c r="H90" s="184">
        <v>0</v>
      </c>
      <c r="I90" s="177">
        <f t="shared" si="2"/>
        <v>0</v>
      </c>
      <c r="J90" s="173">
        <f t="shared" si="3"/>
        <v>57950</v>
      </c>
      <c r="K90" s="180" t="s">
        <v>238</v>
      </c>
    </row>
    <row r="91" spans="1:11">
      <c r="A91" s="216">
        <v>90</v>
      </c>
      <c r="B91" s="196" t="s">
        <v>67</v>
      </c>
      <c r="C91" s="197" t="s">
        <v>61</v>
      </c>
      <c r="D91" s="198" t="s">
        <v>120</v>
      </c>
      <c r="E91" s="206">
        <v>961240001254</v>
      </c>
      <c r="F91" s="200">
        <v>46118</v>
      </c>
      <c r="G91" s="201">
        <v>104388</v>
      </c>
      <c r="H91" s="184">
        <v>0</v>
      </c>
      <c r="I91" s="177">
        <f t="shared" si="2"/>
        <v>0</v>
      </c>
      <c r="J91" s="173">
        <f t="shared" si="3"/>
        <v>104388</v>
      </c>
      <c r="K91" s="183" t="s">
        <v>238</v>
      </c>
    </row>
    <row r="92" spans="1:11">
      <c r="A92" s="216">
        <v>91</v>
      </c>
      <c r="B92" s="196" t="s">
        <v>66</v>
      </c>
      <c r="C92" s="197" t="s">
        <v>61</v>
      </c>
      <c r="D92" s="198" t="s">
        <v>120</v>
      </c>
      <c r="E92" s="206">
        <v>961240001254</v>
      </c>
      <c r="F92" s="200">
        <v>46118</v>
      </c>
      <c r="G92" s="201">
        <v>57950</v>
      </c>
      <c r="H92" s="184">
        <v>0</v>
      </c>
      <c r="I92" s="177">
        <f t="shared" si="2"/>
        <v>0</v>
      </c>
      <c r="J92" s="173">
        <f t="shared" si="3"/>
        <v>57950</v>
      </c>
      <c r="K92" s="183" t="s">
        <v>238</v>
      </c>
    </row>
    <row r="93" spans="1:11" ht="24">
      <c r="A93" s="216">
        <v>92</v>
      </c>
      <c r="B93" s="196" t="s">
        <v>67</v>
      </c>
      <c r="C93" s="197" t="s">
        <v>61</v>
      </c>
      <c r="D93" s="198" t="s">
        <v>133</v>
      </c>
      <c r="E93" s="206">
        <v>210640002794</v>
      </c>
      <c r="F93" s="200">
        <v>46122</v>
      </c>
      <c r="G93" s="201">
        <v>83024.960000000006</v>
      </c>
      <c r="H93" s="184">
        <v>20</v>
      </c>
      <c r="I93" s="182">
        <f t="shared" si="2"/>
        <v>18431.541120000005</v>
      </c>
      <c r="J93" s="173">
        <f t="shared" si="3"/>
        <v>64593.418879999997</v>
      </c>
      <c r="K93" s="178" t="s">
        <v>236</v>
      </c>
    </row>
    <row r="94" spans="1:11" ht="24">
      <c r="A94" s="216">
        <v>93</v>
      </c>
      <c r="B94" s="196" t="s">
        <v>66</v>
      </c>
      <c r="C94" s="197" t="s">
        <v>61</v>
      </c>
      <c r="D94" s="198" t="s">
        <v>133</v>
      </c>
      <c r="E94" s="206">
        <v>210640002794</v>
      </c>
      <c r="F94" s="200">
        <v>46125</v>
      </c>
      <c r="G94" s="201">
        <v>61620.01</v>
      </c>
      <c r="H94" s="184">
        <v>20</v>
      </c>
      <c r="I94" s="181">
        <f t="shared" si="2"/>
        <v>13679.642220000002</v>
      </c>
      <c r="J94" s="175">
        <f t="shared" si="3"/>
        <v>47940.36778</v>
      </c>
      <c r="K94" s="178" t="s">
        <v>236</v>
      </c>
    </row>
    <row r="95" spans="1:11" ht="24">
      <c r="A95" s="216">
        <v>94</v>
      </c>
      <c r="B95" s="196" t="s">
        <v>66</v>
      </c>
      <c r="C95" s="197" t="s">
        <v>61</v>
      </c>
      <c r="D95" s="198" t="s">
        <v>133</v>
      </c>
      <c r="E95" s="206">
        <v>210640002794</v>
      </c>
      <c r="F95" s="200">
        <v>46125</v>
      </c>
      <c r="G95" s="201">
        <v>66304.070000000007</v>
      </c>
      <c r="H95" s="184">
        <v>20</v>
      </c>
      <c r="I95" s="171">
        <f t="shared" si="2"/>
        <v>14719.503540000003</v>
      </c>
      <c r="J95" s="175">
        <f t="shared" si="3"/>
        <v>51584.566460000002</v>
      </c>
      <c r="K95" s="178" t="s">
        <v>236</v>
      </c>
    </row>
    <row r="96" spans="1:11" ht="24">
      <c r="A96" s="216">
        <v>95</v>
      </c>
      <c r="B96" s="196" t="s">
        <v>67</v>
      </c>
      <c r="C96" s="197" t="s">
        <v>61</v>
      </c>
      <c r="D96" s="198" t="s">
        <v>133</v>
      </c>
      <c r="E96" s="206">
        <v>210640002794</v>
      </c>
      <c r="F96" s="200">
        <v>46127</v>
      </c>
      <c r="G96" s="201">
        <v>71879.95</v>
      </c>
      <c r="H96" s="203">
        <v>20</v>
      </c>
      <c r="I96" s="181">
        <f t="shared" si="2"/>
        <v>15957.348900000001</v>
      </c>
      <c r="J96" s="175">
        <f t="shared" si="3"/>
        <v>55922.6011</v>
      </c>
      <c r="K96" s="178" t="s">
        <v>236</v>
      </c>
    </row>
    <row r="97" spans="1:11" ht="24">
      <c r="A97" s="216">
        <v>96</v>
      </c>
      <c r="B97" s="196" t="s">
        <v>67</v>
      </c>
      <c r="C97" s="197" t="s">
        <v>61</v>
      </c>
      <c r="D97" s="198" t="s">
        <v>133</v>
      </c>
      <c r="E97" s="206">
        <v>210640002794</v>
      </c>
      <c r="F97" s="200">
        <v>46127</v>
      </c>
      <c r="G97" s="201">
        <v>155960.15</v>
      </c>
      <c r="H97" s="181">
        <v>20</v>
      </c>
      <c r="I97" s="177">
        <f t="shared" si="2"/>
        <v>34623.153299999998</v>
      </c>
      <c r="J97" s="173">
        <f t="shared" si="3"/>
        <v>121336.99669999999</v>
      </c>
      <c r="K97" s="178" t="s">
        <v>236</v>
      </c>
    </row>
    <row r="98" spans="1:11" ht="24">
      <c r="A98" s="216">
        <v>97</v>
      </c>
      <c r="B98" s="196" t="s">
        <v>67</v>
      </c>
      <c r="C98" s="197" t="s">
        <v>61</v>
      </c>
      <c r="D98" s="198" t="s">
        <v>133</v>
      </c>
      <c r="E98" s="206">
        <v>210640002794</v>
      </c>
      <c r="F98" s="200">
        <v>46142</v>
      </c>
      <c r="G98" s="201">
        <v>34151.879999999997</v>
      </c>
      <c r="H98" s="152">
        <v>20</v>
      </c>
      <c r="I98" s="181">
        <f t="shared" si="2"/>
        <v>7581.7173600000006</v>
      </c>
      <c r="J98" s="167">
        <f t="shared" si="3"/>
        <v>26570.162639999995</v>
      </c>
      <c r="K98" s="180" t="s">
        <v>236</v>
      </c>
    </row>
    <row r="99" spans="1:11">
      <c r="A99" s="216">
        <v>98</v>
      </c>
      <c r="B99" s="196" t="s">
        <v>67</v>
      </c>
      <c r="C99" s="197" t="s">
        <v>61</v>
      </c>
      <c r="D99" s="198" t="s">
        <v>196</v>
      </c>
      <c r="E99" s="206">
        <v>990440002926</v>
      </c>
      <c r="F99" s="200">
        <v>46141</v>
      </c>
      <c r="G99" s="201">
        <v>778041</v>
      </c>
      <c r="H99" s="152">
        <v>15</v>
      </c>
      <c r="I99" s="181">
        <f t="shared" si="2"/>
        <v>129543.82650000001</v>
      </c>
      <c r="J99" s="167">
        <f t="shared" si="3"/>
        <v>648497.17350000003</v>
      </c>
      <c r="K99" s="180" t="s">
        <v>237</v>
      </c>
    </row>
    <row r="100" spans="1:11">
      <c r="A100" s="216">
        <v>99</v>
      </c>
      <c r="B100" s="196" t="s">
        <v>66</v>
      </c>
      <c r="C100" s="197" t="s">
        <v>61</v>
      </c>
      <c r="D100" s="198" t="s">
        <v>196</v>
      </c>
      <c r="E100" s="206">
        <v>990440002926</v>
      </c>
      <c r="F100" s="200">
        <v>46141</v>
      </c>
      <c r="G100" s="201">
        <v>94720.03</v>
      </c>
      <c r="H100" s="152">
        <v>15</v>
      </c>
      <c r="I100" s="181">
        <f t="shared" si="2"/>
        <v>15770.884995</v>
      </c>
      <c r="J100" s="167">
        <f t="shared" si="3"/>
        <v>78949.145004999998</v>
      </c>
      <c r="K100" s="180" t="s">
        <v>237</v>
      </c>
    </row>
    <row r="101" spans="1:11">
      <c r="A101" s="216">
        <v>100</v>
      </c>
      <c r="B101" s="196" t="s">
        <v>67</v>
      </c>
      <c r="C101" s="197" t="s">
        <v>61</v>
      </c>
      <c r="D101" s="198" t="s">
        <v>213</v>
      </c>
      <c r="E101" s="206">
        <v>990240003779</v>
      </c>
      <c r="F101" s="200">
        <v>46142</v>
      </c>
      <c r="G101" s="201">
        <v>328724.23</v>
      </c>
      <c r="H101" s="152">
        <v>15</v>
      </c>
      <c r="I101" s="181">
        <f t="shared" si="2"/>
        <v>54732.584294999993</v>
      </c>
      <c r="J101" s="167">
        <f t="shared" si="3"/>
        <v>273991.64570499997</v>
      </c>
      <c r="K101" s="180" t="s">
        <v>238</v>
      </c>
    </row>
    <row r="102" spans="1:11">
      <c r="A102" s="216">
        <v>101</v>
      </c>
      <c r="B102" s="196" t="s">
        <v>66</v>
      </c>
      <c r="C102" s="197" t="s">
        <v>61</v>
      </c>
      <c r="D102" s="198" t="s">
        <v>213</v>
      </c>
      <c r="E102" s="206">
        <v>990240003779</v>
      </c>
      <c r="F102" s="200">
        <v>46142</v>
      </c>
      <c r="G102" s="201">
        <v>552140.26</v>
      </c>
      <c r="H102" s="152">
        <v>15</v>
      </c>
      <c r="I102" s="181">
        <f t="shared" si="2"/>
        <v>91931.353290000014</v>
      </c>
      <c r="J102" s="167">
        <f t="shared" si="3"/>
        <v>460208.90671000001</v>
      </c>
      <c r="K102" s="180" t="s">
        <v>238</v>
      </c>
    </row>
    <row r="103" spans="1:11" ht="24">
      <c r="A103" s="216">
        <v>102</v>
      </c>
      <c r="B103" s="196" t="s">
        <v>67</v>
      </c>
      <c r="C103" s="197" t="s">
        <v>61</v>
      </c>
      <c r="D103" s="198" t="s">
        <v>155</v>
      </c>
      <c r="E103" s="206">
        <v>990440004289</v>
      </c>
      <c r="F103" s="200">
        <v>46133</v>
      </c>
      <c r="G103" s="201">
        <v>115024</v>
      </c>
      <c r="H103" s="203">
        <v>10</v>
      </c>
      <c r="I103" s="177">
        <f t="shared" si="2"/>
        <v>12767.664000000001</v>
      </c>
      <c r="J103" s="173">
        <f t="shared" si="3"/>
        <v>102256.336</v>
      </c>
      <c r="K103" s="183" t="s">
        <v>237</v>
      </c>
    </row>
    <row r="104" spans="1:11" ht="24">
      <c r="A104" s="216">
        <v>103</v>
      </c>
      <c r="B104" s="196" t="s">
        <v>67</v>
      </c>
      <c r="C104" s="197" t="s">
        <v>61</v>
      </c>
      <c r="D104" s="198" t="s">
        <v>155</v>
      </c>
      <c r="E104" s="206">
        <v>990440004289</v>
      </c>
      <c r="F104" s="200">
        <v>46133</v>
      </c>
      <c r="G104" s="201">
        <v>159167.97</v>
      </c>
      <c r="H104" s="203">
        <v>10</v>
      </c>
      <c r="I104" s="177">
        <f t="shared" si="2"/>
        <v>17667.644670000001</v>
      </c>
      <c r="J104" s="173">
        <f t="shared" si="3"/>
        <v>141500.32532999999</v>
      </c>
      <c r="K104" s="183" t="s">
        <v>237</v>
      </c>
    </row>
    <row r="105" spans="1:11" ht="24">
      <c r="A105" s="216">
        <v>104</v>
      </c>
      <c r="B105" s="196" t="s">
        <v>66</v>
      </c>
      <c r="C105" s="197" t="s">
        <v>61</v>
      </c>
      <c r="D105" s="198" t="s">
        <v>155</v>
      </c>
      <c r="E105" s="206">
        <v>990440004289</v>
      </c>
      <c r="F105" s="200">
        <v>46133</v>
      </c>
      <c r="G105" s="201">
        <v>98490.04</v>
      </c>
      <c r="H105" s="181">
        <v>10</v>
      </c>
      <c r="I105" s="177">
        <f t="shared" si="2"/>
        <v>10932.39444</v>
      </c>
      <c r="J105" s="173">
        <f t="shared" si="3"/>
        <v>87557.64555999999</v>
      </c>
      <c r="K105" s="183" t="s">
        <v>237</v>
      </c>
    </row>
    <row r="106" spans="1:11" ht="24">
      <c r="A106" s="216">
        <v>105</v>
      </c>
      <c r="B106" s="196" t="s">
        <v>67</v>
      </c>
      <c r="C106" s="197" t="s">
        <v>61</v>
      </c>
      <c r="D106" s="198" t="s">
        <v>155</v>
      </c>
      <c r="E106" s="206">
        <v>990440004289</v>
      </c>
      <c r="F106" s="200">
        <v>46140</v>
      </c>
      <c r="G106" s="201">
        <v>98592.02</v>
      </c>
      <c r="H106" s="184">
        <v>10</v>
      </c>
      <c r="I106" s="181">
        <f t="shared" si="2"/>
        <v>10943.714220000002</v>
      </c>
      <c r="J106" s="167">
        <f t="shared" si="3"/>
        <v>87648.305779999995</v>
      </c>
      <c r="K106" s="180" t="s">
        <v>237</v>
      </c>
    </row>
    <row r="107" spans="1:11" ht="24">
      <c r="A107" s="216">
        <v>106</v>
      </c>
      <c r="B107" s="196" t="s">
        <v>67</v>
      </c>
      <c r="C107" s="197" t="s">
        <v>61</v>
      </c>
      <c r="D107" s="198" t="s">
        <v>155</v>
      </c>
      <c r="E107" s="206">
        <v>990440004289</v>
      </c>
      <c r="F107" s="200">
        <v>46142</v>
      </c>
      <c r="G107" s="201">
        <v>61182.02</v>
      </c>
      <c r="H107" s="152">
        <v>10</v>
      </c>
      <c r="I107" s="181">
        <f t="shared" si="2"/>
        <v>6791.2042199999996</v>
      </c>
      <c r="J107" s="167">
        <f t="shared" si="3"/>
        <v>54390.815779999997</v>
      </c>
      <c r="K107" s="180" t="s">
        <v>237</v>
      </c>
    </row>
    <row r="108" spans="1:11" ht="24">
      <c r="A108" s="216">
        <v>107</v>
      </c>
      <c r="B108" s="196" t="s">
        <v>67</v>
      </c>
      <c r="C108" s="197" t="s">
        <v>61</v>
      </c>
      <c r="D108" s="198" t="s">
        <v>154</v>
      </c>
      <c r="E108" s="206">
        <v>250540020518</v>
      </c>
      <c r="F108" s="200">
        <v>46133</v>
      </c>
      <c r="G108" s="201">
        <v>88059.78</v>
      </c>
      <c r="H108" s="203">
        <v>20</v>
      </c>
      <c r="I108" s="177">
        <f t="shared" si="2"/>
        <v>19549.271160000004</v>
      </c>
      <c r="J108" s="173">
        <f t="shared" si="3"/>
        <v>68510.508839999995</v>
      </c>
      <c r="K108" s="183" t="s">
        <v>237</v>
      </c>
    </row>
    <row r="109" spans="1:11" ht="24">
      <c r="A109" s="216">
        <v>108</v>
      </c>
      <c r="B109" s="196" t="s">
        <v>67</v>
      </c>
      <c r="C109" s="197" t="s">
        <v>61</v>
      </c>
      <c r="D109" s="198" t="s">
        <v>154</v>
      </c>
      <c r="E109" s="206">
        <v>250540020518</v>
      </c>
      <c r="F109" s="200">
        <v>46135</v>
      </c>
      <c r="G109" s="201">
        <v>1568422.33</v>
      </c>
      <c r="H109" s="181">
        <v>20</v>
      </c>
      <c r="I109" s="177">
        <f t="shared" si="2"/>
        <v>348189.75726000004</v>
      </c>
      <c r="J109" s="167">
        <f t="shared" si="3"/>
        <v>1220232.57274</v>
      </c>
      <c r="K109" s="180" t="s">
        <v>237</v>
      </c>
    </row>
    <row r="110" spans="1:11" ht="24">
      <c r="A110" s="216">
        <v>109</v>
      </c>
      <c r="B110" s="196" t="s">
        <v>67</v>
      </c>
      <c r="C110" s="197" t="s">
        <v>61</v>
      </c>
      <c r="D110" s="198" t="s">
        <v>154</v>
      </c>
      <c r="E110" s="206">
        <v>250540020518</v>
      </c>
      <c r="F110" s="200">
        <v>46140</v>
      </c>
      <c r="G110" s="201">
        <v>632590.23</v>
      </c>
      <c r="H110" s="203">
        <v>20</v>
      </c>
      <c r="I110" s="181">
        <f t="shared" si="2"/>
        <v>140435.03106000001</v>
      </c>
      <c r="J110" s="167">
        <f t="shared" si="3"/>
        <v>492155.19893999997</v>
      </c>
      <c r="K110" s="180" t="s">
        <v>237</v>
      </c>
    </row>
    <row r="111" spans="1:11" ht="24">
      <c r="A111" s="216">
        <v>110</v>
      </c>
      <c r="B111" s="196" t="s">
        <v>67</v>
      </c>
      <c r="C111" s="197" t="s">
        <v>61</v>
      </c>
      <c r="D111" s="198" t="s">
        <v>141</v>
      </c>
      <c r="E111" s="206">
        <v>990440002936</v>
      </c>
      <c r="F111" s="200">
        <v>46126</v>
      </c>
      <c r="G111" s="201">
        <v>616001.76</v>
      </c>
      <c r="H111" s="203">
        <v>20</v>
      </c>
      <c r="I111" s="181">
        <f t="shared" si="2"/>
        <v>136752.39072000002</v>
      </c>
      <c r="J111" s="175">
        <f t="shared" si="3"/>
        <v>479249.36927999998</v>
      </c>
      <c r="K111" s="180" t="s">
        <v>236</v>
      </c>
    </row>
    <row r="112" spans="1:11" ht="24">
      <c r="A112" s="216">
        <v>111</v>
      </c>
      <c r="B112" s="196" t="s">
        <v>66</v>
      </c>
      <c r="C112" s="197" t="s">
        <v>61</v>
      </c>
      <c r="D112" s="198" t="s">
        <v>141</v>
      </c>
      <c r="E112" s="206">
        <v>990440002936</v>
      </c>
      <c r="F112" s="200">
        <v>46126</v>
      </c>
      <c r="G112" s="201">
        <v>492900</v>
      </c>
      <c r="H112" s="203">
        <v>20</v>
      </c>
      <c r="I112" s="181">
        <f t="shared" si="2"/>
        <v>109423.8</v>
      </c>
      <c r="J112" s="175">
        <f t="shared" si="3"/>
        <v>383476.2</v>
      </c>
      <c r="K112" s="180" t="s">
        <v>236</v>
      </c>
    </row>
    <row r="113" spans="1:11" ht="24">
      <c r="A113" s="216">
        <v>112</v>
      </c>
      <c r="B113" s="196" t="s">
        <v>67</v>
      </c>
      <c r="C113" s="197" t="s">
        <v>61</v>
      </c>
      <c r="D113" s="198" t="s">
        <v>140</v>
      </c>
      <c r="E113" s="206">
        <v>990440003835</v>
      </c>
      <c r="F113" s="200">
        <v>46126</v>
      </c>
      <c r="G113" s="201">
        <v>348400</v>
      </c>
      <c r="H113" s="184">
        <v>20</v>
      </c>
      <c r="I113" s="181">
        <f t="shared" si="2"/>
        <v>77344.800000000003</v>
      </c>
      <c r="J113" s="175">
        <f t="shared" si="3"/>
        <v>271055.2</v>
      </c>
      <c r="K113" s="178" t="s">
        <v>238</v>
      </c>
    </row>
    <row r="114" spans="1:11" ht="24">
      <c r="A114" s="216">
        <v>113</v>
      </c>
      <c r="B114" s="196" t="s">
        <v>66</v>
      </c>
      <c r="C114" s="197" t="s">
        <v>61</v>
      </c>
      <c r="D114" s="198" t="s">
        <v>140</v>
      </c>
      <c r="E114" s="206">
        <v>990440003835</v>
      </c>
      <c r="F114" s="200">
        <v>46127</v>
      </c>
      <c r="G114" s="205">
        <v>243830</v>
      </c>
      <c r="H114" s="181">
        <v>20</v>
      </c>
      <c r="I114" s="181">
        <f t="shared" si="2"/>
        <v>54130.26</v>
      </c>
      <c r="J114" s="175">
        <f t="shared" si="3"/>
        <v>189699.74</v>
      </c>
      <c r="K114" s="178" t="s">
        <v>238</v>
      </c>
    </row>
    <row r="115" spans="1:11">
      <c r="A115" s="216">
        <v>114</v>
      </c>
      <c r="B115" s="196" t="s">
        <v>67</v>
      </c>
      <c r="C115" s="197" t="s">
        <v>61</v>
      </c>
      <c r="D115" s="198" t="s">
        <v>209</v>
      </c>
      <c r="E115" s="206">
        <v>171040003525</v>
      </c>
      <c r="F115" s="200">
        <v>46142</v>
      </c>
      <c r="G115" s="201">
        <v>149899.84</v>
      </c>
      <c r="H115" s="152">
        <v>20</v>
      </c>
      <c r="I115" s="181">
        <f t="shared" si="2"/>
        <v>33277.764479999998</v>
      </c>
      <c r="J115" s="167">
        <f t="shared" si="3"/>
        <v>116622.07552</v>
      </c>
      <c r="K115" s="180" t="s">
        <v>237</v>
      </c>
    </row>
    <row r="116" spans="1:11">
      <c r="A116" s="216">
        <v>115</v>
      </c>
      <c r="B116" s="196" t="s">
        <v>67</v>
      </c>
      <c r="C116" s="197" t="s">
        <v>61</v>
      </c>
      <c r="D116" s="198" t="s">
        <v>209</v>
      </c>
      <c r="E116" s="206">
        <v>171040003525</v>
      </c>
      <c r="F116" s="200">
        <v>46142</v>
      </c>
      <c r="G116" s="201">
        <v>709799.36</v>
      </c>
      <c r="H116" s="152">
        <v>20</v>
      </c>
      <c r="I116" s="181">
        <f t="shared" si="2"/>
        <v>157575.45792000002</v>
      </c>
      <c r="J116" s="167">
        <f t="shared" si="3"/>
        <v>552223.90207999991</v>
      </c>
      <c r="K116" s="180" t="s">
        <v>237</v>
      </c>
    </row>
    <row r="117" spans="1:11">
      <c r="A117" s="216">
        <v>116</v>
      </c>
      <c r="B117" s="196" t="s">
        <v>67</v>
      </c>
      <c r="C117" s="197" t="s">
        <v>61</v>
      </c>
      <c r="D117" s="198" t="s">
        <v>209</v>
      </c>
      <c r="E117" s="206">
        <v>171040003525</v>
      </c>
      <c r="F117" s="200">
        <v>46142</v>
      </c>
      <c r="G117" s="201">
        <v>1355774.5</v>
      </c>
      <c r="H117" s="152">
        <v>20</v>
      </c>
      <c r="I117" s="181">
        <f t="shared" si="2"/>
        <v>300981.93900000007</v>
      </c>
      <c r="J117" s="167">
        <f t="shared" si="3"/>
        <v>1054792.561</v>
      </c>
      <c r="K117" s="180" t="s">
        <v>237</v>
      </c>
    </row>
    <row r="118" spans="1:11">
      <c r="A118" s="216">
        <v>117</v>
      </c>
      <c r="B118" s="196" t="s">
        <v>67</v>
      </c>
      <c r="C118" s="197" t="s">
        <v>61</v>
      </c>
      <c r="D118" s="198" t="s">
        <v>197</v>
      </c>
      <c r="E118" s="206">
        <v>201040030808</v>
      </c>
      <c r="F118" s="200">
        <v>46141</v>
      </c>
      <c r="G118" s="201">
        <v>915866.4</v>
      </c>
      <c r="H118" s="152">
        <v>20</v>
      </c>
      <c r="I118" s="181">
        <f t="shared" si="2"/>
        <v>203322.34080000001</v>
      </c>
      <c r="J118" s="167">
        <f t="shared" si="3"/>
        <v>712544.05920000002</v>
      </c>
      <c r="K118" s="180" t="s">
        <v>237</v>
      </c>
    </row>
    <row r="119" spans="1:11">
      <c r="A119" s="216">
        <v>118</v>
      </c>
      <c r="B119" s="196" t="s">
        <v>67</v>
      </c>
      <c r="C119" s="197" t="s">
        <v>61</v>
      </c>
      <c r="D119" s="198" t="s">
        <v>197</v>
      </c>
      <c r="E119" s="206">
        <v>201040030808</v>
      </c>
      <c r="F119" s="200">
        <v>46141</v>
      </c>
      <c r="G119" s="201">
        <v>1057003.6000000001</v>
      </c>
      <c r="H119" s="152">
        <v>20</v>
      </c>
      <c r="I119" s="181">
        <f t="shared" si="2"/>
        <v>234654.79920000001</v>
      </c>
      <c r="J119" s="167">
        <f t="shared" si="3"/>
        <v>822348.80080000008</v>
      </c>
      <c r="K119" s="180" t="s">
        <v>237</v>
      </c>
    </row>
    <row r="120" spans="1:11">
      <c r="A120" s="216">
        <v>119</v>
      </c>
      <c r="B120" s="196" t="s">
        <v>67</v>
      </c>
      <c r="C120" s="197" t="s">
        <v>61</v>
      </c>
      <c r="D120" s="198" t="s">
        <v>206</v>
      </c>
      <c r="E120" s="206">
        <v>240940001544</v>
      </c>
      <c r="F120" s="200">
        <v>46142</v>
      </c>
      <c r="G120" s="201">
        <v>53050.28</v>
      </c>
      <c r="H120" s="152">
        <v>20</v>
      </c>
      <c r="I120" s="181">
        <f t="shared" si="2"/>
        <v>11777.162160000002</v>
      </c>
      <c r="J120" s="167">
        <f t="shared" si="3"/>
        <v>41273.117839999999</v>
      </c>
      <c r="K120" s="180" t="s">
        <v>237</v>
      </c>
    </row>
    <row r="121" spans="1:11">
      <c r="A121" s="216">
        <v>120</v>
      </c>
      <c r="B121" s="196" t="s">
        <v>66</v>
      </c>
      <c r="C121" s="197" t="s">
        <v>61</v>
      </c>
      <c r="D121" s="198" t="s">
        <v>206</v>
      </c>
      <c r="E121" s="206">
        <v>240940001544</v>
      </c>
      <c r="F121" s="200">
        <v>46142</v>
      </c>
      <c r="G121" s="201">
        <v>406680.57</v>
      </c>
      <c r="H121" s="152">
        <v>20</v>
      </c>
      <c r="I121" s="181">
        <f t="shared" si="2"/>
        <v>90283.086540000004</v>
      </c>
      <c r="J121" s="167">
        <f t="shared" si="3"/>
        <v>316397.48346000002</v>
      </c>
      <c r="K121" s="180" t="s">
        <v>237</v>
      </c>
    </row>
    <row r="122" spans="1:11" ht="24">
      <c r="A122" s="216">
        <v>121</v>
      </c>
      <c r="B122" s="196" t="s">
        <v>66</v>
      </c>
      <c r="C122" s="197" t="s">
        <v>61</v>
      </c>
      <c r="D122" s="198" t="s">
        <v>219</v>
      </c>
      <c r="E122" s="206">
        <v>790140000015</v>
      </c>
      <c r="F122" s="200">
        <v>46142</v>
      </c>
      <c r="G122" s="201">
        <v>208750.12</v>
      </c>
      <c r="H122" s="152">
        <v>0</v>
      </c>
      <c r="I122" s="181">
        <f t="shared" si="2"/>
        <v>0</v>
      </c>
      <c r="J122" s="167">
        <f t="shared" si="3"/>
        <v>208750.12</v>
      </c>
      <c r="K122" s="180" t="s">
        <v>236</v>
      </c>
    </row>
    <row r="123" spans="1:11">
      <c r="A123" s="216">
        <v>122</v>
      </c>
      <c r="B123" s="196" t="s">
        <v>67</v>
      </c>
      <c r="C123" s="197" t="s">
        <v>61</v>
      </c>
      <c r="D123" s="198" t="s">
        <v>142</v>
      </c>
      <c r="E123" s="206">
        <v>130240021144</v>
      </c>
      <c r="F123" s="200">
        <v>46127</v>
      </c>
      <c r="G123" s="201">
        <v>164320.03</v>
      </c>
      <c r="H123" s="181">
        <v>10</v>
      </c>
      <c r="I123" s="181">
        <f t="shared" si="2"/>
        <v>18239.523330000004</v>
      </c>
      <c r="J123" s="175">
        <f t="shared" si="3"/>
        <v>146080.50667</v>
      </c>
      <c r="K123" s="180" t="s">
        <v>237</v>
      </c>
    </row>
    <row r="124" spans="1:11">
      <c r="A124" s="216">
        <v>123</v>
      </c>
      <c r="B124" s="196" t="s">
        <v>67</v>
      </c>
      <c r="C124" s="197" t="s">
        <v>61</v>
      </c>
      <c r="D124" s="198" t="s">
        <v>142</v>
      </c>
      <c r="E124" s="206">
        <v>130240021144</v>
      </c>
      <c r="F124" s="200">
        <v>46127</v>
      </c>
      <c r="G124" s="201">
        <v>902105.85</v>
      </c>
      <c r="H124" s="181">
        <v>10</v>
      </c>
      <c r="I124" s="177">
        <f t="shared" si="2"/>
        <v>100133.74935000001</v>
      </c>
      <c r="J124" s="173">
        <f t="shared" si="3"/>
        <v>801972.10064999992</v>
      </c>
      <c r="K124" s="178" t="s">
        <v>237</v>
      </c>
    </row>
    <row r="125" spans="1:11">
      <c r="A125" s="216">
        <v>124</v>
      </c>
      <c r="B125" s="196" t="s">
        <v>67</v>
      </c>
      <c r="C125" s="197" t="s">
        <v>61</v>
      </c>
      <c r="D125" s="198" t="s">
        <v>142</v>
      </c>
      <c r="E125" s="206">
        <v>130240021144</v>
      </c>
      <c r="F125" s="200">
        <v>46140</v>
      </c>
      <c r="G125" s="201">
        <v>164320.03</v>
      </c>
      <c r="H125" s="203">
        <v>10</v>
      </c>
      <c r="I125" s="181">
        <f t="shared" si="2"/>
        <v>18239.523330000004</v>
      </c>
      <c r="J125" s="167">
        <f t="shared" si="3"/>
        <v>146080.50667</v>
      </c>
      <c r="K125" s="180" t="s">
        <v>237</v>
      </c>
    </row>
    <row r="126" spans="1:11">
      <c r="A126" s="216">
        <v>125</v>
      </c>
      <c r="B126" s="196" t="s">
        <v>67</v>
      </c>
      <c r="C126" s="197" t="s">
        <v>61</v>
      </c>
      <c r="D126" s="198" t="s">
        <v>116</v>
      </c>
      <c r="E126" s="206">
        <v>221140010454</v>
      </c>
      <c r="F126" s="200">
        <v>46115</v>
      </c>
      <c r="G126" s="201">
        <v>598099.48</v>
      </c>
      <c r="H126" s="203">
        <v>20</v>
      </c>
      <c r="I126" s="177">
        <f t="shared" si="2"/>
        <v>132778.08456000002</v>
      </c>
      <c r="J126" s="173">
        <f t="shared" si="3"/>
        <v>465321.39543999999</v>
      </c>
      <c r="K126" s="180" t="s">
        <v>237</v>
      </c>
    </row>
    <row r="127" spans="1:11">
      <c r="A127" s="216">
        <v>126</v>
      </c>
      <c r="B127" s="196" t="s">
        <v>66</v>
      </c>
      <c r="C127" s="197" t="s">
        <v>61</v>
      </c>
      <c r="D127" s="198" t="s">
        <v>116</v>
      </c>
      <c r="E127" s="206">
        <v>221140010454</v>
      </c>
      <c r="F127" s="200">
        <v>46115</v>
      </c>
      <c r="G127" s="201">
        <v>708200.88</v>
      </c>
      <c r="H127" s="184">
        <v>20</v>
      </c>
      <c r="I127" s="177">
        <f t="shared" si="2"/>
        <v>157220.59536000004</v>
      </c>
      <c r="J127" s="173">
        <f t="shared" si="3"/>
        <v>550980.28463999997</v>
      </c>
      <c r="K127" s="180" t="s">
        <v>237</v>
      </c>
    </row>
    <row r="128" spans="1:11">
      <c r="A128" s="216">
        <v>127</v>
      </c>
      <c r="B128" s="196" t="s">
        <v>67</v>
      </c>
      <c r="C128" s="197" t="s">
        <v>61</v>
      </c>
      <c r="D128" s="198" t="s">
        <v>218</v>
      </c>
      <c r="E128" s="206">
        <v>230140012579</v>
      </c>
      <c r="F128" s="200">
        <v>46142</v>
      </c>
      <c r="G128" s="201">
        <v>869501.2</v>
      </c>
      <c r="H128" s="152">
        <v>20</v>
      </c>
      <c r="I128" s="181">
        <f t="shared" si="2"/>
        <v>193029.26639999999</v>
      </c>
      <c r="J128" s="167">
        <f t="shared" si="3"/>
        <v>676471.93359999999</v>
      </c>
      <c r="K128" s="180" t="s">
        <v>237</v>
      </c>
    </row>
    <row r="129" spans="1:11">
      <c r="A129" s="216">
        <v>128</v>
      </c>
      <c r="B129" s="196" t="s">
        <v>66</v>
      </c>
      <c r="C129" s="197" t="s">
        <v>61</v>
      </c>
      <c r="D129" s="198" t="s">
        <v>218</v>
      </c>
      <c r="E129" s="206">
        <v>230140012579</v>
      </c>
      <c r="F129" s="200">
        <v>46142</v>
      </c>
      <c r="G129" s="201">
        <v>881400.48</v>
      </c>
      <c r="H129" s="152">
        <v>20</v>
      </c>
      <c r="I129" s="181">
        <f t="shared" si="2"/>
        <v>195670.90656000003</v>
      </c>
      <c r="J129" s="167">
        <f t="shared" si="3"/>
        <v>685729.57343999995</v>
      </c>
      <c r="K129" s="180" t="s">
        <v>237</v>
      </c>
    </row>
    <row r="130" spans="1:11">
      <c r="A130" s="216">
        <v>129</v>
      </c>
      <c r="B130" s="196" t="s">
        <v>67</v>
      </c>
      <c r="C130" s="197" t="s">
        <v>61</v>
      </c>
      <c r="D130" s="198" t="s">
        <v>179</v>
      </c>
      <c r="E130" s="206">
        <v>150140008602</v>
      </c>
      <c r="F130" s="200">
        <v>46136</v>
      </c>
      <c r="G130" s="201">
        <v>8099978.5800000001</v>
      </c>
      <c r="H130" s="203">
        <v>30</v>
      </c>
      <c r="I130" s="177">
        <f t="shared" ref="I130:I193" si="4">((G130*H130)/100)*1.11</f>
        <v>2697292.8671400002</v>
      </c>
      <c r="J130" s="167">
        <f t="shared" ref="J130:J193" si="5">G130-I130</f>
        <v>5402685.7128599994</v>
      </c>
      <c r="K130" s="180" t="s">
        <v>238</v>
      </c>
    </row>
    <row r="131" spans="1:11">
      <c r="A131" s="216">
        <v>130</v>
      </c>
      <c r="B131" s="196" t="s">
        <v>67</v>
      </c>
      <c r="C131" s="197" t="s">
        <v>61</v>
      </c>
      <c r="D131" s="198" t="s">
        <v>89</v>
      </c>
      <c r="E131" s="206">
        <v>10540000910</v>
      </c>
      <c r="F131" s="200">
        <v>46114</v>
      </c>
      <c r="G131" s="201">
        <v>962220</v>
      </c>
      <c r="H131" s="177">
        <v>0</v>
      </c>
      <c r="I131" s="172">
        <f t="shared" si="4"/>
        <v>0</v>
      </c>
      <c r="J131" s="173">
        <f t="shared" si="5"/>
        <v>962220</v>
      </c>
      <c r="K131" s="180" t="s">
        <v>56</v>
      </c>
    </row>
    <row r="132" spans="1:11">
      <c r="A132" s="216">
        <v>131</v>
      </c>
      <c r="B132" s="196" t="s">
        <v>67</v>
      </c>
      <c r="C132" s="197" t="s">
        <v>61</v>
      </c>
      <c r="D132" s="198" t="s">
        <v>108</v>
      </c>
      <c r="E132" s="206">
        <v>71240013112</v>
      </c>
      <c r="F132" s="200">
        <v>46113</v>
      </c>
      <c r="G132" s="201">
        <v>305200.8</v>
      </c>
      <c r="H132" s="181">
        <v>10</v>
      </c>
      <c r="I132" s="177">
        <f t="shared" si="4"/>
        <v>33877.288800000002</v>
      </c>
      <c r="J132" s="173">
        <f t="shared" si="5"/>
        <v>271323.51120000001</v>
      </c>
      <c r="K132" s="178" t="s">
        <v>236</v>
      </c>
    </row>
    <row r="133" spans="1:11">
      <c r="A133" s="216">
        <v>132</v>
      </c>
      <c r="B133" s="196" t="s">
        <v>66</v>
      </c>
      <c r="C133" s="197" t="s">
        <v>61</v>
      </c>
      <c r="D133" s="198" t="s">
        <v>152</v>
      </c>
      <c r="E133" s="206">
        <v>990340004893</v>
      </c>
      <c r="F133" s="200">
        <v>46132</v>
      </c>
      <c r="G133" s="201">
        <v>269040</v>
      </c>
      <c r="H133" s="181">
        <v>20</v>
      </c>
      <c r="I133" s="171">
        <f t="shared" si="4"/>
        <v>59726.880000000005</v>
      </c>
      <c r="J133" s="175">
        <f t="shared" si="5"/>
        <v>209313.12</v>
      </c>
      <c r="K133" s="183" t="s">
        <v>238</v>
      </c>
    </row>
    <row r="134" spans="1:11">
      <c r="A134" s="216">
        <v>133</v>
      </c>
      <c r="B134" s="196" t="s">
        <v>67</v>
      </c>
      <c r="C134" s="197" t="s">
        <v>64</v>
      </c>
      <c r="D134" s="198" t="s">
        <v>131</v>
      </c>
      <c r="E134" s="199">
        <v>960840000483</v>
      </c>
      <c r="F134" s="200">
        <v>46121</v>
      </c>
      <c r="G134" s="201">
        <v>1021853.51</v>
      </c>
      <c r="H134" s="152">
        <v>0</v>
      </c>
      <c r="I134" s="181">
        <f t="shared" si="4"/>
        <v>0</v>
      </c>
      <c r="J134" s="167">
        <f t="shared" si="5"/>
        <v>1021853.51</v>
      </c>
      <c r="K134" s="180" t="s">
        <v>56</v>
      </c>
    </row>
    <row r="135" spans="1:11">
      <c r="A135" s="216">
        <v>134</v>
      </c>
      <c r="B135" s="196" t="s">
        <v>67</v>
      </c>
      <c r="C135" s="197" t="s">
        <v>64</v>
      </c>
      <c r="D135" s="198" t="s">
        <v>110</v>
      </c>
      <c r="E135" s="199">
        <v>71140018734</v>
      </c>
      <c r="F135" s="200">
        <v>46113</v>
      </c>
      <c r="G135" s="201">
        <v>1796587.42</v>
      </c>
      <c r="H135" s="181">
        <v>20</v>
      </c>
      <c r="I135" s="177">
        <f t="shared" si="4"/>
        <v>398842.40724000003</v>
      </c>
      <c r="J135" s="167">
        <f t="shared" si="5"/>
        <v>1397745.0127599998</v>
      </c>
      <c r="K135" s="180" t="s">
        <v>18</v>
      </c>
    </row>
    <row r="136" spans="1:11">
      <c r="A136" s="216">
        <v>135</v>
      </c>
      <c r="B136" s="196" t="s">
        <v>66</v>
      </c>
      <c r="C136" s="197" t="s">
        <v>64</v>
      </c>
      <c r="D136" s="198" t="s">
        <v>110</v>
      </c>
      <c r="E136" s="199">
        <v>71140018734</v>
      </c>
      <c r="F136" s="200">
        <v>46113</v>
      </c>
      <c r="G136" s="201">
        <v>744721.28</v>
      </c>
      <c r="H136" s="181">
        <v>20</v>
      </c>
      <c r="I136" s="177">
        <f t="shared" si="4"/>
        <v>165328.12416000004</v>
      </c>
      <c r="J136" s="167">
        <f t="shared" si="5"/>
        <v>579393.15584000002</v>
      </c>
      <c r="K136" s="180" t="s">
        <v>18</v>
      </c>
    </row>
    <row r="137" spans="1:11">
      <c r="A137" s="216">
        <v>136</v>
      </c>
      <c r="B137" s="196" t="s">
        <v>67</v>
      </c>
      <c r="C137" s="197" t="s">
        <v>64</v>
      </c>
      <c r="D137" s="198" t="s">
        <v>85</v>
      </c>
      <c r="E137" s="199">
        <v>100340004579</v>
      </c>
      <c r="F137" s="200">
        <v>46120</v>
      </c>
      <c r="G137" s="201">
        <v>132420.26999999999</v>
      </c>
      <c r="H137" s="184">
        <v>20</v>
      </c>
      <c r="I137" s="177">
        <f t="shared" si="4"/>
        <v>29397.299940000004</v>
      </c>
      <c r="J137" s="167">
        <f t="shared" si="5"/>
        <v>103022.97005999999</v>
      </c>
      <c r="K137" s="180" t="s">
        <v>51</v>
      </c>
    </row>
    <row r="138" spans="1:11">
      <c r="A138" s="216">
        <v>137</v>
      </c>
      <c r="B138" s="196" t="s">
        <v>66</v>
      </c>
      <c r="C138" s="197" t="s">
        <v>64</v>
      </c>
      <c r="D138" s="198" t="s">
        <v>85</v>
      </c>
      <c r="E138" s="199">
        <v>100340004579</v>
      </c>
      <c r="F138" s="200">
        <v>46120</v>
      </c>
      <c r="G138" s="201">
        <v>212340.09</v>
      </c>
      <c r="H138" s="152">
        <v>20</v>
      </c>
      <c r="I138" s="179">
        <f t="shared" si="4"/>
        <v>47139.499980000001</v>
      </c>
      <c r="J138" s="167">
        <f t="shared" si="5"/>
        <v>165200.59002</v>
      </c>
      <c r="K138" s="180" t="s">
        <v>51</v>
      </c>
    </row>
    <row r="139" spans="1:11">
      <c r="A139" s="216">
        <v>138</v>
      </c>
      <c r="B139" s="196" t="s">
        <v>66</v>
      </c>
      <c r="C139" s="197" t="s">
        <v>64</v>
      </c>
      <c r="D139" s="198" t="s">
        <v>139</v>
      </c>
      <c r="E139" s="199">
        <v>51240005079</v>
      </c>
      <c r="F139" s="200">
        <v>46125</v>
      </c>
      <c r="G139" s="201">
        <v>301974.49</v>
      </c>
      <c r="H139" s="203">
        <v>20</v>
      </c>
      <c r="I139" s="179">
        <f t="shared" si="4"/>
        <v>67038.336780000012</v>
      </c>
      <c r="J139" s="167">
        <f t="shared" si="5"/>
        <v>234936.15321999998</v>
      </c>
      <c r="K139" s="180" t="s">
        <v>18</v>
      </c>
    </row>
    <row r="140" spans="1:11">
      <c r="A140" s="216">
        <v>139</v>
      </c>
      <c r="B140" s="196" t="s">
        <v>67</v>
      </c>
      <c r="C140" s="197" t="s">
        <v>64</v>
      </c>
      <c r="D140" s="198" t="s">
        <v>195</v>
      </c>
      <c r="E140" s="199">
        <v>180940023531</v>
      </c>
      <c r="F140" s="200">
        <v>46141</v>
      </c>
      <c r="G140" s="201">
        <v>691701.04</v>
      </c>
      <c r="H140" s="152">
        <v>20</v>
      </c>
      <c r="I140" s="177">
        <f t="shared" si="4"/>
        <v>153557.63088000004</v>
      </c>
      <c r="J140" s="167">
        <f t="shared" si="5"/>
        <v>538143.40911999997</v>
      </c>
      <c r="K140" s="180" t="s">
        <v>18</v>
      </c>
    </row>
    <row r="141" spans="1:11">
      <c r="A141" s="216">
        <v>140</v>
      </c>
      <c r="B141" s="196" t="s">
        <v>67</v>
      </c>
      <c r="C141" s="197" t="s">
        <v>64</v>
      </c>
      <c r="D141" s="198" t="s">
        <v>122</v>
      </c>
      <c r="E141" s="199">
        <v>690840000010</v>
      </c>
      <c r="F141" s="200">
        <v>46118</v>
      </c>
      <c r="G141" s="201">
        <v>389700.14</v>
      </c>
      <c r="H141" s="184">
        <v>20</v>
      </c>
      <c r="I141" s="179">
        <f t="shared" si="4"/>
        <v>86513.431080000009</v>
      </c>
      <c r="J141" s="167">
        <f t="shared" si="5"/>
        <v>303186.70892</v>
      </c>
      <c r="K141" s="180" t="s">
        <v>18</v>
      </c>
    </row>
    <row r="142" spans="1:11">
      <c r="A142" s="216">
        <v>141</v>
      </c>
      <c r="B142" s="196" t="s">
        <v>66</v>
      </c>
      <c r="C142" s="197" t="s">
        <v>64</v>
      </c>
      <c r="D142" s="198" t="s">
        <v>122</v>
      </c>
      <c r="E142" s="199">
        <v>690840000010</v>
      </c>
      <c r="F142" s="200">
        <v>46118</v>
      </c>
      <c r="G142" s="201">
        <v>106640.19</v>
      </c>
      <c r="H142" s="184">
        <v>20</v>
      </c>
      <c r="I142" s="177">
        <f t="shared" si="4"/>
        <v>23674.122179999998</v>
      </c>
      <c r="J142" s="167">
        <f t="shared" si="5"/>
        <v>82966.067819999997</v>
      </c>
      <c r="K142" s="180" t="s">
        <v>18</v>
      </c>
    </row>
    <row r="143" spans="1:11">
      <c r="A143" s="216">
        <v>142</v>
      </c>
      <c r="B143" s="196" t="s">
        <v>67</v>
      </c>
      <c r="C143" s="197" t="s">
        <v>64</v>
      </c>
      <c r="D143" s="198" t="s">
        <v>143</v>
      </c>
      <c r="E143" s="199">
        <v>910840000117</v>
      </c>
      <c r="F143" s="200">
        <v>46127</v>
      </c>
      <c r="G143" s="201">
        <v>1274650.92</v>
      </c>
      <c r="H143" s="181">
        <v>20</v>
      </c>
      <c r="I143" s="177">
        <f t="shared" si="4"/>
        <v>282972.50423999998</v>
      </c>
      <c r="J143" s="167">
        <f t="shared" si="5"/>
        <v>991678.41576</v>
      </c>
      <c r="K143" s="180" t="s">
        <v>18</v>
      </c>
    </row>
    <row r="144" spans="1:11">
      <c r="A144" s="216">
        <v>143</v>
      </c>
      <c r="B144" s="196" t="s">
        <v>66</v>
      </c>
      <c r="C144" s="197" t="s">
        <v>64</v>
      </c>
      <c r="D144" s="198" t="s">
        <v>143</v>
      </c>
      <c r="E144" s="199">
        <v>910840000117</v>
      </c>
      <c r="F144" s="200">
        <v>46127</v>
      </c>
      <c r="G144" s="205">
        <v>133300.24</v>
      </c>
      <c r="H144" s="181">
        <v>20</v>
      </c>
      <c r="I144" s="177">
        <f t="shared" si="4"/>
        <v>29592.653280000002</v>
      </c>
      <c r="J144" s="167">
        <f t="shared" si="5"/>
        <v>103707.58671999999</v>
      </c>
      <c r="K144" s="180" t="s">
        <v>18</v>
      </c>
    </row>
    <row r="145" spans="1:11">
      <c r="A145" s="216">
        <v>144</v>
      </c>
      <c r="B145" s="196" t="s">
        <v>67</v>
      </c>
      <c r="C145" s="197" t="s">
        <v>64</v>
      </c>
      <c r="D145" s="198" t="s">
        <v>164</v>
      </c>
      <c r="E145" s="199">
        <v>120940007638</v>
      </c>
      <c r="F145" s="200">
        <v>46134</v>
      </c>
      <c r="G145" s="201">
        <v>425850</v>
      </c>
      <c r="H145" s="181">
        <v>20</v>
      </c>
      <c r="I145" s="181">
        <f t="shared" si="4"/>
        <v>94538.700000000012</v>
      </c>
      <c r="J145" s="166">
        <f t="shared" si="5"/>
        <v>331311.3</v>
      </c>
      <c r="K145" s="183" t="s">
        <v>51</v>
      </c>
    </row>
    <row r="146" spans="1:11">
      <c r="A146" s="216">
        <v>145</v>
      </c>
      <c r="B146" s="196" t="s">
        <v>66</v>
      </c>
      <c r="C146" s="197" t="s">
        <v>64</v>
      </c>
      <c r="D146" s="198" t="s">
        <v>164</v>
      </c>
      <c r="E146" s="199">
        <v>120940007638</v>
      </c>
      <c r="F146" s="200">
        <v>46134</v>
      </c>
      <c r="G146" s="201">
        <v>177000</v>
      </c>
      <c r="H146" s="181">
        <v>20</v>
      </c>
      <c r="I146" s="179">
        <f t="shared" si="4"/>
        <v>39294</v>
      </c>
      <c r="J146" s="167">
        <f t="shared" si="5"/>
        <v>137706</v>
      </c>
      <c r="K146" s="183" t="s">
        <v>51</v>
      </c>
    </row>
    <row r="147" spans="1:11" ht="24">
      <c r="A147" s="216">
        <v>146</v>
      </c>
      <c r="B147" s="196" t="s">
        <v>66</v>
      </c>
      <c r="C147" s="197" t="s">
        <v>64</v>
      </c>
      <c r="D147" s="198" t="s">
        <v>119</v>
      </c>
      <c r="E147" s="199">
        <v>890340000013</v>
      </c>
      <c r="F147" s="200">
        <v>46115</v>
      </c>
      <c r="G147" s="201">
        <v>351024</v>
      </c>
      <c r="H147" s="203">
        <v>20</v>
      </c>
      <c r="I147" s="179">
        <f t="shared" si="4"/>
        <v>77927.328000000009</v>
      </c>
      <c r="J147" s="167">
        <f t="shared" si="5"/>
        <v>273096.67200000002</v>
      </c>
      <c r="K147" s="180" t="s">
        <v>18</v>
      </c>
    </row>
    <row r="148" spans="1:11">
      <c r="A148" s="216">
        <v>147</v>
      </c>
      <c r="B148" s="196" t="s">
        <v>67</v>
      </c>
      <c r="C148" s="197" t="s">
        <v>64</v>
      </c>
      <c r="D148" s="198" t="s">
        <v>96</v>
      </c>
      <c r="E148" s="199">
        <v>60140013332</v>
      </c>
      <c r="F148" s="200">
        <v>46122</v>
      </c>
      <c r="G148" s="201">
        <v>199347.01</v>
      </c>
      <c r="H148" s="204">
        <v>20</v>
      </c>
      <c r="I148" s="181">
        <f t="shared" si="4"/>
        <v>44255.036220000009</v>
      </c>
      <c r="J148" s="167">
        <f t="shared" si="5"/>
        <v>155091.97378</v>
      </c>
      <c r="K148" s="180" t="s">
        <v>51</v>
      </c>
    </row>
    <row r="149" spans="1:11" ht="24">
      <c r="A149" s="216">
        <v>148</v>
      </c>
      <c r="B149" s="196" t="s">
        <v>66</v>
      </c>
      <c r="C149" s="197" t="s">
        <v>64</v>
      </c>
      <c r="D149" s="198" t="s">
        <v>146</v>
      </c>
      <c r="E149" s="199">
        <v>150140001318</v>
      </c>
      <c r="F149" s="200">
        <v>46128</v>
      </c>
      <c r="G149" s="205">
        <v>1142996.95</v>
      </c>
      <c r="H149" s="181">
        <v>20</v>
      </c>
      <c r="I149" s="181">
        <f t="shared" si="4"/>
        <v>253745.32290000003</v>
      </c>
      <c r="J149" s="166">
        <f t="shared" si="5"/>
        <v>889251.62709999993</v>
      </c>
      <c r="K149" s="183" t="s">
        <v>51</v>
      </c>
    </row>
    <row r="150" spans="1:11">
      <c r="A150" s="216">
        <v>149</v>
      </c>
      <c r="B150" s="196" t="s">
        <v>67</v>
      </c>
      <c r="C150" s="197" t="s">
        <v>64</v>
      </c>
      <c r="D150" s="198" t="s">
        <v>153</v>
      </c>
      <c r="E150" s="199">
        <v>240740005679</v>
      </c>
      <c r="F150" s="200">
        <v>46133</v>
      </c>
      <c r="G150" s="201">
        <v>69580.05</v>
      </c>
      <c r="H150" s="181">
        <v>20</v>
      </c>
      <c r="I150" s="177">
        <f t="shared" si="4"/>
        <v>15446.771100000002</v>
      </c>
      <c r="J150" s="167">
        <f t="shared" si="5"/>
        <v>54133.278900000005</v>
      </c>
      <c r="K150" s="183" t="s">
        <v>51</v>
      </c>
    </row>
    <row r="151" spans="1:11">
      <c r="A151" s="216">
        <v>150</v>
      </c>
      <c r="B151" s="196" t="s">
        <v>67</v>
      </c>
      <c r="C151" s="197" t="s">
        <v>64</v>
      </c>
      <c r="D151" s="198" t="s">
        <v>121</v>
      </c>
      <c r="E151" s="199">
        <v>241240018070</v>
      </c>
      <c r="F151" s="200">
        <v>46118</v>
      </c>
      <c r="G151" s="201">
        <v>226499.9</v>
      </c>
      <c r="H151" s="184">
        <v>20</v>
      </c>
      <c r="I151" s="177">
        <f t="shared" si="4"/>
        <v>50282.977800000008</v>
      </c>
      <c r="J151" s="167">
        <f t="shared" si="5"/>
        <v>176216.92219999997</v>
      </c>
      <c r="K151" s="183" t="s">
        <v>51</v>
      </c>
    </row>
    <row r="152" spans="1:11">
      <c r="A152" s="216">
        <v>151</v>
      </c>
      <c r="B152" s="196" t="s">
        <v>67</v>
      </c>
      <c r="C152" s="197" t="s">
        <v>64</v>
      </c>
      <c r="D152" s="198" t="s">
        <v>75</v>
      </c>
      <c r="E152" s="199">
        <v>50240004642</v>
      </c>
      <c r="F152" s="200">
        <v>46134</v>
      </c>
      <c r="G152" s="201">
        <v>4859578.37</v>
      </c>
      <c r="H152" s="181">
        <v>0</v>
      </c>
      <c r="I152" s="181">
        <f t="shared" si="4"/>
        <v>0</v>
      </c>
      <c r="J152" s="166">
        <f t="shared" si="5"/>
        <v>4859578.37</v>
      </c>
      <c r="K152" s="180" t="s">
        <v>13</v>
      </c>
    </row>
    <row r="153" spans="1:11">
      <c r="A153" s="216">
        <v>152</v>
      </c>
      <c r="B153" s="196" t="s">
        <v>66</v>
      </c>
      <c r="C153" s="197" t="s">
        <v>64</v>
      </c>
      <c r="D153" s="198" t="s">
        <v>86</v>
      </c>
      <c r="E153" s="199">
        <v>10140003594</v>
      </c>
      <c r="F153" s="200">
        <v>46142</v>
      </c>
      <c r="G153" s="201">
        <v>16750117.93</v>
      </c>
      <c r="H153" s="152">
        <v>10</v>
      </c>
      <c r="I153" s="177">
        <f t="shared" si="4"/>
        <v>1859263.0902300002</v>
      </c>
      <c r="J153" s="167">
        <f t="shared" si="5"/>
        <v>14890854.83977</v>
      </c>
      <c r="K153" s="180" t="s">
        <v>13</v>
      </c>
    </row>
    <row r="154" spans="1:11">
      <c r="A154" s="216">
        <v>153</v>
      </c>
      <c r="B154" s="196" t="s">
        <v>67</v>
      </c>
      <c r="C154" s="197" t="s">
        <v>64</v>
      </c>
      <c r="D154" s="198" t="s">
        <v>138</v>
      </c>
      <c r="E154" s="199">
        <v>120340003574</v>
      </c>
      <c r="F154" s="200">
        <v>46125</v>
      </c>
      <c r="G154" s="201">
        <v>5911500</v>
      </c>
      <c r="H154" s="181">
        <v>0</v>
      </c>
      <c r="I154" s="177">
        <f t="shared" si="4"/>
        <v>0</v>
      </c>
      <c r="J154" s="167">
        <f t="shared" si="5"/>
        <v>5911500</v>
      </c>
      <c r="K154" s="180" t="s">
        <v>13</v>
      </c>
    </row>
    <row r="155" spans="1:11">
      <c r="A155" s="216">
        <v>154</v>
      </c>
      <c r="B155" s="217" t="s">
        <v>67</v>
      </c>
      <c r="C155" s="109" t="s">
        <v>68</v>
      </c>
      <c r="D155" s="220" t="s">
        <v>181</v>
      </c>
      <c r="E155" s="108">
        <v>101040005142</v>
      </c>
      <c r="F155" s="223">
        <v>46139</v>
      </c>
      <c r="G155" s="225">
        <v>89320</v>
      </c>
      <c r="H155" s="235">
        <v>0</v>
      </c>
      <c r="I155" s="181">
        <f t="shared" si="4"/>
        <v>0</v>
      </c>
      <c r="J155" s="167">
        <f t="shared" si="5"/>
        <v>89320</v>
      </c>
      <c r="K155" s="168" t="s">
        <v>239</v>
      </c>
    </row>
    <row r="156" spans="1:11">
      <c r="A156" s="216">
        <v>155</v>
      </c>
      <c r="B156" s="217" t="s">
        <v>67</v>
      </c>
      <c r="C156" s="109" t="s">
        <v>68</v>
      </c>
      <c r="D156" s="220" t="s">
        <v>150</v>
      </c>
      <c r="E156" s="108">
        <v>50740003276</v>
      </c>
      <c r="F156" s="223">
        <v>46129</v>
      </c>
      <c r="G156" s="225">
        <v>127500</v>
      </c>
      <c r="H156" s="229">
        <v>0</v>
      </c>
      <c r="I156" s="181">
        <f t="shared" si="4"/>
        <v>0</v>
      </c>
      <c r="J156" s="167">
        <f t="shared" si="5"/>
        <v>127500</v>
      </c>
      <c r="K156" s="168" t="s">
        <v>239</v>
      </c>
    </row>
    <row r="157" spans="1:11" ht="24">
      <c r="A157" s="216">
        <v>156</v>
      </c>
      <c r="B157" s="217" t="s">
        <v>67</v>
      </c>
      <c r="C157" s="109" t="s">
        <v>68</v>
      </c>
      <c r="D157" s="220" t="s">
        <v>135</v>
      </c>
      <c r="E157" s="108">
        <v>10540002065</v>
      </c>
      <c r="F157" s="223">
        <v>46122</v>
      </c>
      <c r="G157" s="225">
        <v>238740.07</v>
      </c>
      <c r="H157" s="231">
        <v>10</v>
      </c>
      <c r="I157" s="181">
        <f t="shared" si="4"/>
        <v>26500.147770000003</v>
      </c>
      <c r="J157" s="167">
        <f t="shared" si="5"/>
        <v>212239.92223</v>
      </c>
      <c r="K157" s="168" t="s">
        <v>239</v>
      </c>
    </row>
    <row r="158" spans="1:11" ht="24">
      <c r="A158" s="216">
        <v>157</v>
      </c>
      <c r="B158" s="217" t="s">
        <v>66</v>
      </c>
      <c r="C158" s="109" t="s">
        <v>68</v>
      </c>
      <c r="D158" s="220" t="s">
        <v>135</v>
      </c>
      <c r="E158" s="108">
        <v>10540002065</v>
      </c>
      <c r="F158" s="223">
        <v>46122</v>
      </c>
      <c r="G158" s="225">
        <v>66350.259999999995</v>
      </c>
      <c r="H158" s="231">
        <v>10</v>
      </c>
      <c r="I158" s="181">
        <f t="shared" si="4"/>
        <v>7364.8788600000007</v>
      </c>
      <c r="J158" s="167">
        <f t="shared" si="5"/>
        <v>58985.381139999998</v>
      </c>
      <c r="K158" s="168" t="s">
        <v>239</v>
      </c>
    </row>
    <row r="159" spans="1:11" ht="24">
      <c r="A159" s="216">
        <v>158</v>
      </c>
      <c r="B159" s="217" t="s">
        <v>67</v>
      </c>
      <c r="C159" s="109" t="s">
        <v>68</v>
      </c>
      <c r="D159" s="220" t="s">
        <v>132</v>
      </c>
      <c r="E159" s="108">
        <v>210240021805</v>
      </c>
      <c r="F159" s="223">
        <v>46122</v>
      </c>
      <c r="G159" s="225">
        <v>16996</v>
      </c>
      <c r="H159" s="233">
        <v>10</v>
      </c>
      <c r="I159" s="181">
        <f t="shared" si="4"/>
        <v>1886.556</v>
      </c>
      <c r="J159" s="167">
        <f t="shared" si="5"/>
        <v>15109.444</v>
      </c>
      <c r="K159" s="168" t="s">
        <v>239</v>
      </c>
    </row>
    <row r="160" spans="1:11" ht="24">
      <c r="A160" s="216">
        <v>159</v>
      </c>
      <c r="B160" s="217" t="s">
        <v>66</v>
      </c>
      <c r="C160" s="109" t="s">
        <v>68</v>
      </c>
      <c r="D160" s="220" t="s">
        <v>132</v>
      </c>
      <c r="E160" s="108">
        <v>210240021805</v>
      </c>
      <c r="F160" s="223">
        <v>46122</v>
      </c>
      <c r="G160" s="225">
        <v>94010</v>
      </c>
      <c r="H160" s="231">
        <v>10</v>
      </c>
      <c r="I160" s="181">
        <f t="shared" si="4"/>
        <v>10435.11</v>
      </c>
      <c r="J160" s="167">
        <f t="shared" si="5"/>
        <v>83574.89</v>
      </c>
      <c r="K160" s="168" t="s">
        <v>239</v>
      </c>
    </row>
    <row r="161" spans="1:11" ht="24">
      <c r="A161" s="216">
        <v>160</v>
      </c>
      <c r="B161" s="217" t="s">
        <v>67</v>
      </c>
      <c r="C161" s="109" t="s">
        <v>68</v>
      </c>
      <c r="D161" s="220" t="s">
        <v>132</v>
      </c>
      <c r="E161" s="108">
        <v>210240021805</v>
      </c>
      <c r="F161" s="223">
        <v>46125</v>
      </c>
      <c r="G161" s="225">
        <v>73160.160000000003</v>
      </c>
      <c r="H161" s="231">
        <v>10</v>
      </c>
      <c r="I161" s="181">
        <f t="shared" si="4"/>
        <v>8120.7777600000009</v>
      </c>
      <c r="J161" s="167">
        <f t="shared" si="5"/>
        <v>65039.382240000006</v>
      </c>
      <c r="K161" s="168" t="s">
        <v>239</v>
      </c>
    </row>
    <row r="162" spans="1:11">
      <c r="A162" s="216">
        <v>161</v>
      </c>
      <c r="B162" s="217" t="s">
        <v>67</v>
      </c>
      <c r="C162" s="109" t="s">
        <v>68</v>
      </c>
      <c r="D162" s="220" t="s">
        <v>137</v>
      </c>
      <c r="E162" s="108">
        <v>940740001484</v>
      </c>
      <c r="F162" s="223">
        <v>46125</v>
      </c>
      <c r="G162" s="225">
        <v>213718.39999999999</v>
      </c>
      <c r="H162" s="227">
        <v>0</v>
      </c>
      <c r="I162" s="181">
        <f t="shared" si="4"/>
        <v>0</v>
      </c>
      <c r="J162" s="167">
        <f t="shared" si="5"/>
        <v>213718.39999999999</v>
      </c>
      <c r="K162" s="168" t="s">
        <v>239</v>
      </c>
    </row>
    <row r="163" spans="1:11">
      <c r="A163" s="216">
        <v>162</v>
      </c>
      <c r="B163" s="196" t="s">
        <v>67</v>
      </c>
      <c r="C163" s="197" t="s">
        <v>79</v>
      </c>
      <c r="D163" s="198" t="s">
        <v>203</v>
      </c>
      <c r="E163" s="199">
        <v>941040000097</v>
      </c>
      <c r="F163" s="200">
        <v>46142</v>
      </c>
      <c r="G163" s="201">
        <v>33976.400000000001</v>
      </c>
      <c r="H163" s="152">
        <v>0</v>
      </c>
      <c r="I163" s="181">
        <f t="shared" si="4"/>
        <v>0</v>
      </c>
      <c r="J163" s="167">
        <f t="shared" si="5"/>
        <v>33976.400000000001</v>
      </c>
      <c r="K163" s="180" t="s">
        <v>19</v>
      </c>
    </row>
    <row r="164" spans="1:11">
      <c r="A164" s="216">
        <v>163</v>
      </c>
      <c r="B164" s="196" t="s">
        <v>67</v>
      </c>
      <c r="C164" s="197" t="s">
        <v>79</v>
      </c>
      <c r="D164" s="198" t="s">
        <v>203</v>
      </c>
      <c r="E164" s="199">
        <v>941040000097</v>
      </c>
      <c r="F164" s="200">
        <v>46142</v>
      </c>
      <c r="G164" s="201">
        <v>48720</v>
      </c>
      <c r="H164" s="152">
        <v>0</v>
      </c>
      <c r="I164" s="181">
        <f t="shared" si="4"/>
        <v>0</v>
      </c>
      <c r="J164" s="167">
        <f t="shared" si="5"/>
        <v>48720</v>
      </c>
      <c r="K164" s="180" t="s">
        <v>19</v>
      </c>
    </row>
    <row r="165" spans="1:11">
      <c r="A165" s="216">
        <v>164</v>
      </c>
      <c r="B165" s="196" t="s">
        <v>67</v>
      </c>
      <c r="C165" s="197" t="s">
        <v>79</v>
      </c>
      <c r="D165" s="198" t="s">
        <v>203</v>
      </c>
      <c r="E165" s="199">
        <v>941040000097</v>
      </c>
      <c r="F165" s="200">
        <v>46142</v>
      </c>
      <c r="G165" s="201">
        <v>163560</v>
      </c>
      <c r="H165" s="152">
        <v>10</v>
      </c>
      <c r="I165" s="181">
        <f t="shared" si="4"/>
        <v>18155.16</v>
      </c>
      <c r="J165" s="167">
        <f t="shared" si="5"/>
        <v>145404.84</v>
      </c>
      <c r="K165" s="180" t="s">
        <v>19</v>
      </c>
    </row>
    <row r="166" spans="1:11">
      <c r="A166" s="216">
        <v>165</v>
      </c>
      <c r="B166" s="196" t="s">
        <v>67</v>
      </c>
      <c r="C166" s="197" t="s">
        <v>79</v>
      </c>
      <c r="D166" s="198" t="s">
        <v>203</v>
      </c>
      <c r="E166" s="199">
        <v>941040000097</v>
      </c>
      <c r="F166" s="200">
        <v>46142</v>
      </c>
      <c r="G166" s="201">
        <v>900835.58</v>
      </c>
      <c r="H166" s="152">
        <v>20</v>
      </c>
      <c r="I166" s="181">
        <f t="shared" si="4"/>
        <v>199985.49875999999</v>
      </c>
      <c r="J166" s="167">
        <f t="shared" si="5"/>
        <v>700850.08123999997</v>
      </c>
      <c r="K166" s="180" t="s">
        <v>19</v>
      </c>
    </row>
    <row r="167" spans="1:11">
      <c r="A167" s="216">
        <v>166</v>
      </c>
      <c r="B167" s="196" t="s">
        <v>67</v>
      </c>
      <c r="C167" s="197" t="s">
        <v>79</v>
      </c>
      <c r="D167" s="198" t="s">
        <v>203</v>
      </c>
      <c r="E167" s="199">
        <v>941040000097</v>
      </c>
      <c r="F167" s="200">
        <v>46142</v>
      </c>
      <c r="G167" s="201">
        <v>1311380</v>
      </c>
      <c r="H167" s="152">
        <v>0</v>
      </c>
      <c r="I167" s="181">
        <f t="shared" si="4"/>
        <v>0</v>
      </c>
      <c r="J167" s="167">
        <f t="shared" si="5"/>
        <v>1311380</v>
      </c>
      <c r="K167" s="180" t="s">
        <v>19</v>
      </c>
    </row>
    <row r="168" spans="1:11">
      <c r="A168" s="216">
        <v>167</v>
      </c>
      <c r="B168" s="196" t="s">
        <v>67</v>
      </c>
      <c r="C168" s="197" t="s">
        <v>79</v>
      </c>
      <c r="D168" s="198" t="s">
        <v>203</v>
      </c>
      <c r="E168" s="199">
        <v>941040000097</v>
      </c>
      <c r="F168" s="200">
        <v>46142</v>
      </c>
      <c r="G168" s="201">
        <v>1360227.6</v>
      </c>
      <c r="H168" s="152">
        <v>10</v>
      </c>
      <c r="I168" s="181">
        <f t="shared" si="4"/>
        <v>150985.26360000003</v>
      </c>
      <c r="J168" s="167">
        <f t="shared" si="5"/>
        <v>1209242.3364000001</v>
      </c>
      <c r="K168" s="180" t="s">
        <v>19</v>
      </c>
    </row>
    <row r="169" spans="1:11">
      <c r="A169" s="216">
        <v>168</v>
      </c>
      <c r="B169" s="196" t="s">
        <v>66</v>
      </c>
      <c r="C169" s="197" t="s">
        <v>79</v>
      </c>
      <c r="D169" s="198" t="s">
        <v>203</v>
      </c>
      <c r="E169" s="199">
        <v>941040000097</v>
      </c>
      <c r="F169" s="200">
        <v>46142</v>
      </c>
      <c r="G169" s="201">
        <v>83520</v>
      </c>
      <c r="H169" s="152">
        <v>0</v>
      </c>
      <c r="I169" s="181">
        <f t="shared" si="4"/>
        <v>0</v>
      </c>
      <c r="J169" s="167">
        <f t="shared" si="5"/>
        <v>83520</v>
      </c>
      <c r="K169" s="180" t="s">
        <v>19</v>
      </c>
    </row>
    <row r="170" spans="1:11">
      <c r="A170" s="216">
        <v>169</v>
      </c>
      <c r="B170" s="196" t="s">
        <v>66</v>
      </c>
      <c r="C170" s="197" t="s">
        <v>79</v>
      </c>
      <c r="D170" s="198" t="s">
        <v>203</v>
      </c>
      <c r="E170" s="199">
        <v>941040000097</v>
      </c>
      <c r="F170" s="200">
        <v>46142</v>
      </c>
      <c r="G170" s="201">
        <v>615960</v>
      </c>
      <c r="H170" s="152">
        <v>10</v>
      </c>
      <c r="I170" s="181">
        <f t="shared" si="4"/>
        <v>68371.560000000012</v>
      </c>
      <c r="J170" s="167">
        <f t="shared" si="5"/>
        <v>547588.43999999994</v>
      </c>
      <c r="K170" s="180" t="s">
        <v>19</v>
      </c>
    </row>
    <row r="171" spans="1:11">
      <c r="A171" s="216">
        <v>170</v>
      </c>
      <c r="B171" s="196" t="s">
        <v>66</v>
      </c>
      <c r="C171" s="197" t="s">
        <v>79</v>
      </c>
      <c r="D171" s="198" t="s">
        <v>203</v>
      </c>
      <c r="E171" s="199">
        <v>941040000097</v>
      </c>
      <c r="F171" s="200">
        <v>46142</v>
      </c>
      <c r="G171" s="201">
        <v>1127108.25</v>
      </c>
      <c r="H171" s="152">
        <v>0</v>
      </c>
      <c r="I171" s="181">
        <f t="shared" si="4"/>
        <v>0</v>
      </c>
      <c r="J171" s="167">
        <f t="shared" si="5"/>
        <v>1127108.25</v>
      </c>
      <c r="K171" s="180" t="s">
        <v>19</v>
      </c>
    </row>
    <row r="172" spans="1:11">
      <c r="A172" s="216">
        <v>171</v>
      </c>
      <c r="B172" s="196" t="s">
        <v>66</v>
      </c>
      <c r="C172" s="197" t="s">
        <v>79</v>
      </c>
      <c r="D172" s="198" t="s">
        <v>221</v>
      </c>
      <c r="E172" s="199">
        <v>101040005493</v>
      </c>
      <c r="F172" s="200">
        <v>46142</v>
      </c>
      <c r="G172" s="201">
        <v>330854.34000000003</v>
      </c>
      <c r="H172" s="152">
        <v>20</v>
      </c>
      <c r="I172" s="181">
        <f t="shared" si="4"/>
        <v>73449.663480000003</v>
      </c>
      <c r="J172" s="167">
        <f t="shared" si="5"/>
        <v>257404.67652000004</v>
      </c>
      <c r="K172" s="180" t="s">
        <v>19</v>
      </c>
    </row>
    <row r="173" spans="1:11">
      <c r="A173" s="216">
        <v>172</v>
      </c>
      <c r="B173" s="196" t="s">
        <v>67</v>
      </c>
      <c r="C173" s="197" t="s">
        <v>79</v>
      </c>
      <c r="D173" s="198" t="s">
        <v>210</v>
      </c>
      <c r="E173" s="199">
        <v>101040005493</v>
      </c>
      <c r="F173" s="200">
        <v>46142</v>
      </c>
      <c r="G173" s="201">
        <v>241079.65</v>
      </c>
      <c r="H173" s="152">
        <v>20</v>
      </c>
      <c r="I173" s="181">
        <f t="shared" si="4"/>
        <v>53519.682300000008</v>
      </c>
      <c r="J173" s="167">
        <f t="shared" si="5"/>
        <v>187559.96769999998</v>
      </c>
      <c r="K173" s="180" t="s">
        <v>19</v>
      </c>
    </row>
    <row r="174" spans="1:11" ht="24">
      <c r="A174" s="216">
        <v>173</v>
      </c>
      <c r="B174" s="196" t="s">
        <v>67</v>
      </c>
      <c r="C174" s="197" t="s">
        <v>79</v>
      </c>
      <c r="D174" s="198" t="s">
        <v>80</v>
      </c>
      <c r="E174" s="199">
        <v>970940001774</v>
      </c>
      <c r="F174" s="200">
        <v>46122</v>
      </c>
      <c r="G174" s="201">
        <v>384083.83</v>
      </c>
      <c r="H174" s="204">
        <v>15</v>
      </c>
      <c r="I174" s="181">
        <f t="shared" si="4"/>
        <v>63949.957695000012</v>
      </c>
      <c r="J174" s="167">
        <f t="shared" si="5"/>
        <v>320133.87230500003</v>
      </c>
      <c r="K174" s="180" t="s">
        <v>19</v>
      </c>
    </row>
    <row r="175" spans="1:11" ht="24">
      <c r="A175" s="216">
        <v>174</v>
      </c>
      <c r="B175" s="196" t="s">
        <v>67</v>
      </c>
      <c r="C175" s="197" t="s">
        <v>79</v>
      </c>
      <c r="D175" s="198" t="s">
        <v>81</v>
      </c>
      <c r="E175" s="199">
        <v>990240005715</v>
      </c>
      <c r="F175" s="200">
        <v>46139</v>
      </c>
      <c r="G175" s="201">
        <v>77868.2</v>
      </c>
      <c r="H175" s="203">
        <v>10</v>
      </c>
      <c r="I175" s="181">
        <f t="shared" si="4"/>
        <v>8643.3702000000012</v>
      </c>
      <c r="J175" s="167">
        <f t="shared" si="5"/>
        <v>69224.829799999992</v>
      </c>
      <c r="K175" s="180" t="s">
        <v>19</v>
      </c>
    </row>
    <row r="176" spans="1:11">
      <c r="A176" s="216">
        <v>175</v>
      </c>
      <c r="B176" s="196" t="s">
        <v>67</v>
      </c>
      <c r="C176" s="197" t="s">
        <v>79</v>
      </c>
      <c r="D176" s="198" t="s">
        <v>84</v>
      </c>
      <c r="E176" s="199">
        <v>130840013670</v>
      </c>
      <c r="F176" s="200">
        <v>46122</v>
      </c>
      <c r="G176" s="201">
        <v>106601</v>
      </c>
      <c r="H176" s="207">
        <v>10</v>
      </c>
      <c r="I176" s="181">
        <f t="shared" si="4"/>
        <v>11832.711000000001</v>
      </c>
      <c r="J176" s="167">
        <f t="shared" si="5"/>
        <v>94768.289000000004</v>
      </c>
      <c r="K176" s="180" t="s">
        <v>19</v>
      </c>
    </row>
    <row r="177" spans="1:11">
      <c r="A177" s="216">
        <v>176</v>
      </c>
      <c r="B177" s="196" t="s">
        <v>67</v>
      </c>
      <c r="C177" s="197" t="s">
        <v>79</v>
      </c>
      <c r="D177" s="198" t="s">
        <v>84</v>
      </c>
      <c r="E177" s="199">
        <v>130840013670</v>
      </c>
      <c r="F177" s="200">
        <v>46122</v>
      </c>
      <c r="G177" s="201">
        <v>476803</v>
      </c>
      <c r="H177" s="204">
        <v>10</v>
      </c>
      <c r="I177" s="181">
        <f t="shared" si="4"/>
        <v>52925.133000000009</v>
      </c>
      <c r="J177" s="167">
        <f t="shared" si="5"/>
        <v>423877.86699999997</v>
      </c>
      <c r="K177" s="180" t="s">
        <v>19</v>
      </c>
    </row>
    <row r="178" spans="1:11" ht="24">
      <c r="A178" s="216">
        <v>177</v>
      </c>
      <c r="B178" s="196" t="s">
        <v>67</v>
      </c>
      <c r="C178" s="197" t="s">
        <v>79</v>
      </c>
      <c r="D178" s="198" t="s">
        <v>82</v>
      </c>
      <c r="E178" s="199">
        <v>220440030090</v>
      </c>
      <c r="F178" s="200">
        <v>46140</v>
      </c>
      <c r="G178" s="201">
        <v>39582.01</v>
      </c>
      <c r="H178" s="203">
        <v>10</v>
      </c>
      <c r="I178" s="181">
        <f t="shared" si="4"/>
        <v>4393.6031100000009</v>
      </c>
      <c r="J178" s="167">
        <f t="shared" si="5"/>
        <v>35188.406889999998</v>
      </c>
      <c r="K178" s="180" t="s">
        <v>19</v>
      </c>
    </row>
    <row r="179" spans="1:11" ht="24">
      <c r="A179" s="216">
        <v>178</v>
      </c>
      <c r="B179" s="196" t="s">
        <v>67</v>
      </c>
      <c r="C179" s="197" t="s">
        <v>79</v>
      </c>
      <c r="D179" s="198" t="s">
        <v>99</v>
      </c>
      <c r="E179" s="199">
        <v>991140003807</v>
      </c>
      <c r="F179" s="200">
        <v>46113</v>
      </c>
      <c r="G179" s="201">
        <v>16280</v>
      </c>
      <c r="H179" s="181">
        <v>15</v>
      </c>
      <c r="I179" s="181">
        <f t="shared" si="4"/>
        <v>2710.6200000000003</v>
      </c>
      <c r="J179" s="167">
        <f t="shared" si="5"/>
        <v>13569.38</v>
      </c>
      <c r="K179" s="180" t="s">
        <v>19</v>
      </c>
    </row>
    <row r="180" spans="1:11" ht="24">
      <c r="A180" s="216">
        <v>179</v>
      </c>
      <c r="B180" s="196" t="s">
        <v>67</v>
      </c>
      <c r="C180" s="197" t="s">
        <v>79</v>
      </c>
      <c r="D180" s="198" t="s">
        <v>99</v>
      </c>
      <c r="E180" s="199">
        <v>991140003807</v>
      </c>
      <c r="F180" s="200">
        <v>46122</v>
      </c>
      <c r="G180" s="201">
        <v>142300</v>
      </c>
      <c r="H180" s="204">
        <v>15</v>
      </c>
      <c r="I180" s="181">
        <f t="shared" si="4"/>
        <v>23692.95</v>
      </c>
      <c r="J180" s="167">
        <f t="shared" si="5"/>
        <v>118607.05</v>
      </c>
      <c r="K180" s="180" t="s">
        <v>19</v>
      </c>
    </row>
    <row r="181" spans="1:11" ht="24">
      <c r="A181" s="216">
        <v>180</v>
      </c>
      <c r="B181" s="196" t="s">
        <v>67</v>
      </c>
      <c r="C181" s="197" t="s">
        <v>79</v>
      </c>
      <c r="D181" s="198" t="s">
        <v>187</v>
      </c>
      <c r="E181" s="199">
        <v>40540004641</v>
      </c>
      <c r="F181" s="200">
        <v>46140</v>
      </c>
      <c r="G181" s="201">
        <v>415599</v>
      </c>
      <c r="H181" s="203">
        <v>20</v>
      </c>
      <c r="I181" s="181">
        <f t="shared" si="4"/>
        <v>92262.978000000017</v>
      </c>
      <c r="J181" s="167">
        <f t="shared" si="5"/>
        <v>323336.022</v>
      </c>
      <c r="K181" s="180" t="s">
        <v>19</v>
      </c>
    </row>
    <row r="182" spans="1:11" ht="24">
      <c r="A182" s="216">
        <v>181</v>
      </c>
      <c r="B182" s="196" t="s">
        <v>66</v>
      </c>
      <c r="C182" s="197" t="s">
        <v>79</v>
      </c>
      <c r="D182" s="198" t="s">
        <v>187</v>
      </c>
      <c r="E182" s="199">
        <v>40540004641</v>
      </c>
      <c r="F182" s="200">
        <v>46140</v>
      </c>
      <c r="G182" s="201">
        <v>393240.93</v>
      </c>
      <c r="H182" s="184">
        <v>20</v>
      </c>
      <c r="I182" s="181">
        <f t="shared" si="4"/>
        <v>87299.486460000015</v>
      </c>
      <c r="J182" s="167">
        <f t="shared" si="5"/>
        <v>305941.44354000001</v>
      </c>
      <c r="K182" s="180" t="s">
        <v>19</v>
      </c>
    </row>
    <row r="183" spans="1:11" ht="24">
      <c r="A183" s="216">
        <v>182</v>
      </c>
      <c r="B183" s="196" t="s">
        <v>67</v>
      </c>
      <c r="C183" s="197" t="s">
        <v>79</v>
      </c>
      <c r="D183" s="198" t="s">
        <v>180</v>
      </c>
      <c r="E183" s="199">
        <v>961240002262</v>
      </c>
      <c r="F183" s="200">
        <v>46139</v>
      </c>
      <c r="G183" s="201">
        <v>6955.01</v>
      </c>
      <c r="H183" s="203">
        <v>10</v>
      </c>
      <c r="I183" s="181">
        <f t="shared" si="4"/>
        <v>772.00611000000015</v>
      </c>
      <c r="J183" s="167">
        <f t="shared" si="5"/>
        <v>6183.00389</v>
      </c>
      <c r="K183" s="180" t="s">
        <v>19</v>
      </c>
    </row>
    <row r="184" spans="1:11" ht="24">
      <c r="A184" s="216">
        <v>183</v>
      </c>
      <c r="B184" s="196" t="s">
        <v>67</v>
      </c>
      <c r="C184" s="197" t="s">
        <v>79</v>
      </c>
      <c r="D184" s="198" t="s">
        <v>180</v>
      </c>
      <c r="E184" s="199">
        <v>961240002262</v>
      </c>
      <c r="F184" s="200">
        <v>46139</v>
      </c>
      <c r="G184" s="201">
        <v>7254.99</v>
      </c>
      <c r="H184" s="203">
        <v>10</v>
      </c>
      <c r="I184" s="181">
        <f t="shared" si="4"/>
        <v>805.30389000000002</v>
      </c>
      <c r="J184" s="167">
        <f t="shared" si="5"/>
        <v>6449.6861099999996</v>
      </c>
      <c r="K184" s="180" t="s">
        <v>19</v>
      </c>
    </row>
    <row r="185" spans="1:11" ht="24">
      <c r="A185" s="216">
        <v>184</v>
      </c>
      <c r="B185" s="196" t="s">
        <v>67</v>
      </c>
      <c r="C185" s="197" t="s">
        <v>79</v>
      </c>
      <c r="D185" s="198" t="s">
        <v>180</v>
      </c>
      <c r="E185" s="199">
        <v>961240002262</v>
      </c>
      <c r="F185" s="200">
        <v>46139</v>
      </c>
      <c r="G185" s="201">
        <v>32639.96</v>
      </c>
      <c r="H185" s="203">
        <v>10</v>
      </c>
      <c r="I185" s="181">
        <f t="shared" si="4"/>
        <v>3623.0355599999998</v>
      </c>
      <c r="J185" s="167">
        <f t="shared" si="5"/>
        <v>29016.924439999999</v>
      </c>
      <c r="K185" s="180" t="s">
        <v>19</v>
      </c>
    </row>
    <row r="186" spans="1:11" ht="24">
      <c r="A186" s="216">
        <v>185</v>
      </c>
      <c r="B186" s="196" t="s">
        <v>67</v>
      </c>
      <c r="C186" s="197" t="s">
        <v>79</v>
      </c>
      <c r="D186" s="198" t="s">
        <v>180</v>
      </c>
      <c r="E186" s="199">
        <v>961240002262</v>
      </c>
      <c r="F186" s="200">
        <v>46139</v>
      </c>
      <c r="G186" s="201">
        <v>34500.019999999997</v>
      </c>
      <c r="H186" s="203">
        <v>10</v>
      </c>
      <c r="I186" s="181">
        <f t="shared" si="4"/>
        <v>3829.5022199999999</v>
      </c>
      <c r="J186" s="167">
        <f t="shared" si="5"/>
        <v>30670.517779999998</v>
      </c>
      <c r="K186" s="180" t="s">
        <v>19</v>
      </c>
    </row>
    <row r="187" spans="1:11" ht="24">
      <c r="A187" s="216">
        <v>186</v>
      </c>
      <c r="B187" s="196" t="s">
        <v>67</v>
      </c>
      <c r="C187" s="197" t="s">
        <v>79</v>
      </c>
      <c r="D187" s="198" t="s">
        <v>180</v>
      </c>
      <c r="E187" s="199">
        <v>961240002262</v>
      </c>
      <c r="F187" s="200">
        <v>46139</v>
      </c>
      <c r="G187" s="201">
        <v>146399.42000000001</v>
      </c>
      <c r="H187" s="203">
        <v>10</v>
      </c>
      <c r="I187" s="181">
        <f t="shared" si="4"/>
        <v>16250.335620000005</v>
      </c>
      <c r="J187" s="167">
        <f t="shared" si="5"/>
        <v>130149.08438000001</v>
      </c>
      <c r="K187" s="180" t="s">
        <v>19</v>
      </c>
    </row>
    <row r="188" spans="1:11" ht="24">
      <c r="A188" s="216">
        <v>187</v>
      </c>
      <c r="B188" s="196" t="s">
        <v>67</v>
      </c>
      <c r="C188" s="197" t="s">
        <v>79</v>
      </c>
      <c r="D188" s="198" t="s">
        <v>180</v>
      </c>
      <c r="E188" s="199">
        <v>961240002262</v>
      </c>
      <c r="F188" s="200">
        <v>46139</v>
      </c>
      <c r="G188" s="201">
        <v>153000.29</v>
      </c>
      <c r="H188" s="203">
        <v>10</v>
      </c>
      <c r="I188" s="181">
        <f t="shared" si="4"/>
        <v>16983.032190000005</v>
      </c>
      <c r="J188" s="167">
        <f t="shared" si="5"/>
        <v>136017.25781000001</v>
      </c>
      <c r="K188" s="180" t="s">
        <v>19</v>
      </c>
    </row>
    <row r="189" spans="1:11" ht="24">
      <c r="A189" s="216">
        <v>188</v>
      </c>
      <c r="B189" s="196" t="s">
        <v>67</v>
      </c>
      <c r="C189" s="197" t="s">
        <v>79</v>
      </c>
      <c r="D189" s="198" t="s">
        <v>180</v>
      </c>
      <c r="E189" s="199">
        <v>961240002262</v>
      </c>
      <c r="F189" s="200">
        <v>46139</v>
      </c>
      <c r="G189" s="201">
        <v>263700.13</v>
      </c>
      <c r="H189" s="203">
        <v>10</v>
      </c>
      <c r="I189" s="181">
        <f t="shared" si="4"/>
        <v>29270.71443</v>
      </c>
      <c r="J189" s="167">
        <f t="shared" si="5"/>
        <v>234429.41557000001</v>
      </c>
      <c r="K189" s="180" t="s">
        <v>19</v>
      </c>
    </row>
    <row r="190" spans="1:11" ht="24">
      <c r="A190" s="216">
        <v>189</v>
      </c>
      <c r="B190" s="196" t="s">
        <v>66</v>
      </c>
      <c r="C190" s="197" t="s">
        <v>79</v>
      </c>
      <c r="D190" s="198" t="s">
        <v>180</v>
      </c>
      <c r="E190" s="199">
        <v>961240002262</v>
      </c>
      <c r="F190" s="200">
        <v>46139</v>
      </c>
      <c r="G190" s="201">
        <v>36250</v>
      </c>
      <c r="H190" s="203">
        <v>10</v>
      </c>
      <c r="I190" s="181">
        <f t="shared" si="4"/>
        <v>4023.7500000000005</v>
      </c>
      <c r="J190" s="167">
        <f t="shared" si="5"/>
        <v>32226.25</v>
      </c>
      <c r="K190" s="180" t="s">
        <v>19</v>
      </c>
    </row>
    <row r="191" spans="1:11" ht="24">
      <c r="A191" s="216">
        <v>190</v>
      </c>
      <c r="B191" s="196" t="s">
        <v>66</v>
      </c>
      <c r="C191" s="197" t="s">
        <v>79</v>
      </c>
      <c r="D191" s="198" t="s">
        <v>180</v>
      </c>
      <c r="E191" s="199">
        <v>961240002262</v>
      </c>
      <c r="F191" s="200">
        <v>46139</v>
      </c>
      <c r="G191" s="201">
        <v>106230.13</v>
      </c>
      <c r="H191" s="203">
        <v>10</v>
      </c>
      <c r="I191" s="181">
        <f t="shared" si="4"/>
        <v>11791.544430000002</v>
      </c>
      <c r="J191" s="167">
        <f t="shared" si="5"/>
        <v>94438.585569999996</v>
      </c>
      <c r="K191" s="180" t="s">
        <v>19</v>
      </c>
    </row>
    <row r="192" spans="1:11" ht="24">
      <c r="A192" s="216">
        <v>191</v>
      </c>
      <c r="B192" s="196" t="s">
        <v>66</v>
      </c>
      <c r="C192" s="197" t="s">
        <v>79</v>
      </c>
      <c r="D192" s="198" t="s">
        <v>180</v>
      </c>
      <c r="E192" s="199">
        <v>961240002262</v>
      </c>
      <c r="F192" s="200">
        <v>46139</v>
      </c>
      <c r="G192" s="201">
        <v>121999.52</v>
      </c>
      <c r="H192" s="203">
        <v>10</v>
      </c>
      <c r="I192" s="181">
        <f t="shared" si="4"/>
        <v>13541.94672</v>
      </c>
      <c r="J192" s="167">
        <f t="shared" si="5"/>
        <v>108457.57328000001</v>
      </c>
      <c r="K192" s="180" t="s">
        <v>19</v>
      </c>
    </row>
    <row r="193" spans="1:11" ht="24">
      <c r="A193" s="216">
        <v>192</v>
      </c>
      <c r="B193" s="196" t="s">
        <v>67</v>
      </c>
      <c r="C193" s="197" t="s">
        <v>79</v>
      </c>
      <c r="D193" s="198" t="s">
        <v>129</v>
      </c>
      <c r="E193" s="199">
        <v>990440005455</v>
      </c>
      <c r="F193" s="200">
        <v>46121</v>
      </c>
      <c r="G193" s="201">
        <v>80000.100000000006</v>
      </c>
      <c r="H193" s="184">
        <v>0</v>
      </c>
      <c r="I193" s="181">
        <f t="shared" si="4"/>
        <v>0</v>
      </c>
      <c r="J193" s="167">
        <f t="shared" si="5"/>
        <v>80000.100000000006</v>
      </c>
      <c r="K193" s="180" t="s">
        <v>19</v>
      </c>
    </row>
    <row r="194" spans="1:11" ht="24">
      <c r="A194" s="216">
        <v>193</v>
      </c>
      <c r="B194" s="196" t="s">
        <v>66</v>
      </c>
      <c r="C194" s="197" t="s">
        <v>79</v>
      </c>
      <c r="D194" s="198" t="s">
        <v>191</v>
      </c>
      <c r="E194" s="199">
        <v>120940016307</v>
      </c>
      <c r="F194" s="200">
        <v>46140</v>
      </c>
      <c r="G194" s="201">
        <v>61850.04</v>
      </c>
      <c r="H194" s="184">
        <v>20</v>
      </c>
      <c r="I194" s="181">
        <f t="shared" ref="I194:I257" si="6">((G194*H194)/100)*1.11</f>
        <v>13730.70888</v>
      </c>
      <c r="J194" s="167">
        <f t="shared" ref="J194:J257" si="7">G194-I194</f>
        <v>48119.331120000003</v>
      </c>
      <c r="K194" s="180" t="s">
        <v>19</v>
      </c>
    </row>
    <row r="195" spans="1:11" ht="24">
      <c r="A195" s="216">
        <v>194</v>
      </c>
      <c r="B195" s="196" t="s">
        <v>67</v>
      </c>
      <c r="C195" s="197" t="s">
        <v>79</v>
      </c>
      <c r="D195" s="198" t="s">
        <v>191</v>
      </c>
      <c r="E195" s="199">
        <v>120940016307</v>
      </c>
      <c r="F195" s="200">
        <v>46142</v>
      </c>
      <c r="G195" s="201">
        <v>53360</v>
      </c>
      <c r="H195" s="152">
        <v>20</v>
      </c>
      <c r="I195" s="181">
        <f t="shared" si="6"/>
        <v>11845.920000000002</v>
      </c>
      <c r="J195" s="167">
        <f t="shared" si="7"/>
        <v>41514.080000000002</v>
      </c>
      <c r="K195" s="180" t="s">
        <v>19</v>
      </c>
    </row>
    <row r="196" spans="1:11" ht="24">
      <c r="A196" s="216">
        <v>195</v>
      </c>
      <c r="B196" s="196" t="s">
        <v>66</v>
      </c>
      <c r="C196" s="197" t="s">
        <v>79</v>
      </c>
      <c r="D196" s="198" t="s">
        <v>191</v>
      </c>
      <c r="E196" s="199">
        <v>120940016307</v>
      </c>
      <c r="F196" s="200">
        <v>46142</v>
      </c>
      <c r="G196" s="201">
        <v>37290</v>
      </c>
      <c r="H196" s="152">
        <v>20</v>
      </c>
      <c r="I196" s="181">
        <f t="shared" si="6"/>
        <v>8278.380000000001</v>
      </c>
      <c r="J196" s="167">
        <f t="shared" si="7"/>
        <v>29011.62</v>
      </c>
      <c r="K196" s="180" t="s">
        <v>19</v>
      </c>
    </row>
    <row r="197" spans="1:11" ht="24">
      <c r="A197" s="216">
        <v>196</v>
      </c>
      <c r="B197" s="196" t="s">
        <v>67</v>
      </c>
      <c r="C197" s="197" t="s">
        <v>79</v>
      </c>
      <c r="D197" s="198" t="s">
        <v>130</v>
      </c>
      <c r="E197" s="199">
        <v>240003902</v>
      </c>
      <c r="F197" s="200">
        <v>46121</v>
      </c>
      <c r="G197" s="201">
        <v>189328</v>
      </c>
      <c r="H197" s="152">
        <v>10</v>
      </c>
      <c r="I197" s="181">
        <f t="shared" si="6"/>
        <v>21015.407999999999</v>
      </c>
      <c r="J197" s="167">
        <f t="shared" si="7"/>
        <v>168312.592</v>
      </c>
      <c r="K197" s="180" t="s">
        <v>19</v>
      </c>
    </row>
    <row r="198" spans="1:11" ht="24">
      <c r="A198" s="216">
        <v>197</v>
      </c>
      <c r="B198" s="196" t="s">
        <v>66</v>
      </c>
      <c r="C198" s="197" t="s">
        <v>79</v>
      </c>
      <c r="D198" s="198" t="s">
        <v>130</v>
      </c>
      <c r="E198" s="199">
        <v>240003902</v>
      </c>
      <c r="F198" s="200">
        <v>46122</v>
      </c>
      <c r="G198" s="201">
        <v>31320</v>
      </c>
      <c r="H198" s="203">
        <v>10</v>
      </c>
      <c r="I198" s="181">
        <f t="shared" si="6"/>
        <v>3476.5200000000004</v>
      </c>
      <c r="J198" s="167">
        <f t="shared" si="7"/>
        <v>27843.48</v>
      </c>
      <c r="K198" s="180" t="s">
        <v>19</v>
      </c>
    </row>
    <row r="199" spans="1:11" ht="24">
      <c r="A199" s="216">
        <v>198</v>
      </c>
      <c r="B199" s="196" t="s">
        <v>66</v>
      </c>
      <c r="C199" s="197" t="s">
        <v>79</v>
      </c>
      <c r="D199" s="198" t="s">
        <v>130</v>
      </c>
      <c r="E199" s="199">
        <v>240003902</v>
      </c>
      <c r="F199" s="200">
        <v>46140</v>
      </c>
      <c r="G199" s="201">
        <v>106469.9</v>
      </c>
      <c r="H199" s="184">
        <v>10</v>
      </c>
      <c r="I199" s="181">
        <f t="shared" si="6"/>
        <v>11818.1589</v>
      </c>
      <c r="J199" s="167">
        <f t="shared" si="7"/>
        <v>94651.741099999999</v>
      </c>
      <c r="K199" s="180" t="s">
        <v>19</v>
      </c>
    </row>
    <row r="200" spans="1:11" ht="24">
      <c r="A200" s="216">
        <v>199</v>
      </c>
      <c r="B200" s="196" t="s">
        <v>67</v>
      </c>
      <c r="C200" s="197" t="s">
        <v>79</v>
      </c>
      <c r="D200" s="198" t="s">
        <v>134</v>
      </c>
      <c r="E200" s="199">
        <v>961140001449</v>
      </c>
      <c r="F200" s="200">
        <v>46122</v>
      </c>
      <c r="G200" s="201">
        <v>231695.84</v>
      </c>
      <c r="H200" s="204">
        <v>10</v>
      </c>
      <c r="I200" s="181">
        <f t="shared" si="6"/>
        <v>25718.238240000002</v>
      </c>
      <c r="J200" s="167">
        <f t="shared" si="7"/>
        <v>205977.60175999999</v>
      </c>
      <c r="K200" s="180" t="s">
        <v>19</v>
      </c>
    </row>
    <row r="201" spans="1:11" ht="24">
      <c r="A201" s="216">
        <v>200</v>
      </c>
      <c r="B201" s="196" t="s">
        <v>67</v>
      </c>
      <c r="C201" s="197" t="s">
        <v>79</v>
      </c>
      <c r="D201" s="198" t="s">
        <v>216</v>
      </c>
      <c r="E201" s="199">
        <v>971240002343</v>
      </c>
      <c r="F201" s="200">
        <v>46142</v>
      </c>
      <c r="G201" s="201">
        <v>717779.6</v>
      </c>
      <c r="H201" s="152">
        <v>10</v>
      </c>
      <c r="I201" s="181">
        <f t="shared" si="6"/>
        <v>79673.535600000017</v>
      </c>
      <c r="J201" s="167">
        <f t="shared" si="7"/>
        <v>638106.06439999992</v>
      </c>
      <c r="K201" s="180" t="s">
        <v>19</v>
      </c>
    </row>
    <row r="202" spans="1:11">
      <c r="A202" s="216">
        <v>201</v>
      </c>
      <c r="B202" s="196" t="s">
        <v>67</v>
      </c>
      <c r="C202" s="197" t="s">
        <v>79</v>
      </c>
      <c r="D202" s="198" t="s">
        <v>118</v>
      </c>
      <c r="E202" s="199">
        <v>10440002379</v>
      </c>
      <c r="F202" s="200">
        <v>46115</v>
      </c>
      <c r="G202" s="201">
        <v>2430780</v>
      </c>
      <c r="H202" s="203">
        <v>15</v>
      </c>
      <c r="I202" s="181">
        <f t="shared" si="6"/>
        <v>404724.87000000005</v>
      </c>
      <c r="J202" s="167">
        <f t="shared" si="7"/>
        <v>2026055.13</v>
      </c>
      <c r="K202" s="180" t="s">
        <v>19</v>
      </c>
    </row>
    <row r="203" spans="1:11">
      <c r="A203" s="216">
        <v>202</v>
      </c>
      <c r="B203" s="196" t="s">
        <v>67</v>
      </c>
      <c r="C203" s="197" t="s">
        <v>63</v>
      </c>
      <c r="D203" s="198" t="s">
        <v>176</v>
      </c>
      <c r="E203" s="199">
        <v>990140002777</v>
      </c>
      <c r="F203" s="200">
        <v>46136</v>
      </c>
      <c r="G203" s="201">
        <v>83500.05</v>
      </c>
      <c r="H203" s="177">
        <v>0</v>
      </c>
      <c r="I203" s="177">
        <f t="shared" si="6"/>
        <v>0</v>
      </c>
      <c r="J203" s="167">
        <f t="shared" si="7"/>
        <v>83500.05</v>
      </c>
      <c r="K203" s="178" t="s">
        <v>25</v>
      </c>
    </row>
    <row r="204" spans="1:11">
      <c r="A204" s="216">
        <v>203</v>
      </c>
      <c r="B204" s="196" t="s">
        <v>67</v>
      </c>
      <c r="C204" s="197" t="s">
        <v>63</v>
      </c>
      <c r="D204" s="198" t="s">
        <v>136</v>
      </c>
      <c r="E204" s="199">
        <v>990140000136</v>
      </c>
      <c r="F204" s="200">
        <v>46122</v>
      </c>
      <c r="G204" s="201">
        <v>1157148.97</v>
      </c>
      <c r="H204" s="204">
        <v>10</v>
      </c>
      <c r="I204" s="169">
        <f t="shared" si="6"/>
        <v>128443.53567000001</v>
      </c>
      <c r="J204" s="166">
        <f t="shared" si="7"/>
        <v>1028705.43433</v>
      </c>
      <c r="K204" s="180" t="s">
        <v>226</v>
      </c>
    </row>
    <row r="205" spans="1:11">
      <c r="A205" s="216">
        <v>204</v>
      </c>
      <c r="B205" s="196" t="s">
        <v>66</v>
      </c>
      <c r="C205" s="197" t="s">
        <v>63</v>
      </c>
      <c r="D205" s="198" t="s">
        <v>136</v>
      </c>
      <c r="E205" s="199">
        <v>990140000136</v>
      </c>
      <c r="F205" s="200">
        <v>46122</v>
      </c>
      <c r="G205" s="201">
        <v>188900.32</v>
      </c>
      <c r="H205" s="203">
        <v>10</v>
      </c>
      <c r="I205" s="177">
        <f t="shared" si="6"/>
        <v>20967.935520000006</v>
      </c>
      <c r="J205" s="167">
        <f t="shared" si="7"/>
        <v>167932.38448000001</v>
      </c>
      <c r="K205" s="180" t="s">
        <v>226</v>
      </c>
    </row>
    <row r="206" spans="1:11">
      <c r="A206" s="216">
        <v>205</v>
      </c>
      <c r="B206" s="196" t="s">
        <v>67</v>
      </c>
      <c r="C206" s="197" t="s">
        <v>63</v>
      </c>
      <c r="D206" s="198" t="s">
        <v>125</v>
      </c>
      <c r="E206" s="199">
        <v>100240015174</v>
      </c>
      <c r="F206" s="200">
        <v>46120</v>
      </c>
      <c r="G206" s="201">
        <v>25000.32</v>
      </c>
      <c r="H206" s="184">
        <v>10</v>
      </c>
      <c r="I206" s="177">
        <f t="shared" si="6"/>
        <v>2775.0355200000004</v>
      </c>
      <c r="J206" s="167">
        <f t="shared" si="7"/>
        <v>22225.284479999998</v>
      </c>
      <c r="K206" s="180" t="s">
        <v>226</v>
      </c>
    </row>
    <row r="207" spans="1:11">
      <c r="A207" s="216">
        <v>206</v>
      </c>
      <c r="B207" s="196" t="s">
        <v>67</v>
      </c>
      <c r="C207" s="197" t="s">
        <v>63</v>
      </c>
      <c r="D207" s="198" t="s">
        <v>88</v>
      </c>
      <c r="E207" s="199">
        <v>990140000592</v>
      </c>
      <c r="F207" s="200">
        <v>46114</v>
      </c>
      <c r="G207" s="201">
        <v>28536</v>
      </c>
      <c r="H207" s="181">
        <v>20</v>
      </c>
      <c r="I207" s="179">
        <f t="shared" si="6"/>
        <v>6334.9920000000002</v>
      </c>
      <c r="J207" s="167">
        <f t="shared" si="7"/>
        <v>22201.008000000002</v>
      </c>
      <c r="K207" s="178" t="s">
        <v>227</v>
      </c>
    </row>
    <row r="208" spans="1:11">
      <c r="A208" s="216">
        <v>207</v>
      </c>
      <c r="B208" s="196" t="s">
        <v>67</v>
      </c>
      <c r="C208" s="197" t="s">
        <v>63</v>
      </c>
      <c r="D208" s="198" t="s">
        <v>88</v>
      </c>
      <c r="E208" s="199">
        <v>990140000592</v>
      </c>
      <c r="F208" s="200">
        <v>46114</v>
      </c>
      <c r="G208" s="201">
        <v>39440</v>
      </c>
      <c r="H208" s="181">
        <v>20</v>
      </c>
      <c r="I208" s="177">
        <f t="shared" si="6"/>
        <v>8755.68</v>
      </c>
      <c r="J208" s="167">
        <f t="shared" si="7"/>
        <v>30684.32</v>
      </c>
      <c r="K208" s="178" t="s">
        <v>227</v>
      </c>
    </row>
    <row r="209" spans="1:11">
      <c r="A209" s="216">
        <v>208</v>
      </c>
      <c r="B209" s="196" t="s">
        <v>67</v>
      </c>
      <c r="C209" s="197" t="s">
        <v>63</v>
      </c>
      <c r="D209" s="198" t="s">
        <v>88</v>
      </c>
      <c r="E209" s="199">
        <v>990140000592</v>
      </c>
      <c r="F209" s="200">
        <v>46114</v>
      </c>
      <c r="G209" s="201">
        <v>44312</v>
      </c>
      <c r="H209" s="181">
        <v>20</v>
      </c>
      <c r="I209" s="181">
        <f t="shared" si="6"/>
        <v>9837.264000000001</v>
      </c>
      <c r="J209" s="166">
        <f t="shared" si="7"/>
        <v>34474.735999999997</v>
      </c>
      <c r="K209" s="178" t="s">
        <v>227</v>
      </c>
    </row>
    <row r="210" spans="1:11">
      <c r="A210" s="216">
        <v>209</v>
      </c>
      <c r="B210" s="196" t="s">
        <v>67</v>
      </c>
      <c r="C210" s="197" t="s">
        <v>63</v>
      </c>
      <c r="D210" s="198" t="s">
        <v>127</v>
      </c>
      <c r="E210" s="199">
        <v>40640004912</v>
      </c>
      <c r="F210" s="200">
        <v>46120</v>
      </c>
      <c r="G210" s="201">
        <v>1034252.86</v>
      </c>
      <c r="H210" s="152">
        <v>10</v>
      </c>
      <c r="I210" s="177">
        <f t="shared" si="6"/>
        <v>114802.06746000001</v>
      </c>
      <c r="J210" s="167">
        <f t="shared" si="7"/>
        <v>919450.79253999994</v>
      </c>
      <c r="K210" s="183" t="s">
        <v>226</v>
      </c>
    </row>
    <row r="211" spans="1:11">
      <c r="A211" s="216">
        <v>210</v>
      </c>
      <c r="B211" s="196" t="s">
        <v>66</v>
      </c>
      <c r="C211" s="197" t="s">
        <v>63</v>
      </c>
      <c r="D211" s="198" t="s">
        <v>127</v>
      </c>
      <c r="E211" s="199">
        <v>40640004912</v>
      </c>
      <c r="F211" s="200">
        <v>46120</v>
      </c>
      <c r="G211" s="201">
        <v>252719.69</v>
      </c>
      <c r="H211" s="152">
        <v>10</v>
      </c>
      <c r="I211" s="177">
        <f t="shared" si="6"/>
        <v>28051.885589999998</v>
      </c>
      <c r="J211" s="167">
        <f t="shared" si="7"/>
        <v>224667.80441000001</v>
      </c>
      <c r="K211" s="180" t="s">
        <v>226</v>
      </c>
    </row>
    <row r="212" spans="1:11">
      <c r="A212" s="216">
        <v>211</v>
      </c>
      <c r="B212" s="196" t="s">
        <v>67</v>
      </c>
      <c r="C212" s="197" t="s">
        <v>63</v>
      </c>
      <c r="D212" s="198" t="s">
        <v>100</v>
      </c>
      <c r="E212" s="199">
        <v>950640001482</v>
      </c>
      <c r="F212" s="200">
        <v>46134</v>
      </c>
      <c r="G212" s="201">
        <v>42900.05</v>
      </c>
      <c r="H212" s="181">
        <v>10</v>
      </c>
      <c r="I212" s="181">
        <f t="shared" si="6"/>
        <v>4761.9055500000004</v>
      </c>
      <c r="J212" s="166">
        <f t="shared" si="7"/>
        <v>38138.14445</v>
      </c>
      <c r="K212" s="183" t="s">
        <v>227</v>
      </c>
    </row>
    <row r="213" spans="1:11" ht="24">
      <c r="A213" s="216">
        <v>212</v>
      </c>
      <c r="B213" s="196" t="s">
        <v>67</v>
      </c>
      <c r="C213" s="197" t="s">
        <v>63</v>
      </c>
      <c r="D213" s="198" t="s">
        <v>158</v>
      </c>
      <c r="E213" s="199">
        <v>950640001363</v>
      </c>
      <c r="F213" s="200">
        <v>46134</v>
      </c>
      <c r="G213" s="201">
        <v>133400</v>
      </c>
      <c r="H213" s="181">
        <v>0</v>
      </c>
      <c r="I213" s="181">
        <f t="shared" si="6"/>
        <v>0</v>
      </c>
      <c r="J213" s="166">
        <f t="shared" si="7"/>
        <v>133400</v>
      </c>
      <c r="K213" s="178" t="s">
        <v>226</v>
      </c>
    </row>
    <row r="214" spans="1:11" ht="24">
      <c r="A214" s="216">
        <v>213</v>
      </c>
      <c r="B214" s="196" t="s">
        <v>67</v>
      </c>
      <c r="C214" s="197" t="s">
        <v>63</v>
      </c>
      <c r="D214" s="198" t="s">
        <v>167</v>
      </c>
      <c r="E214" s="199">
        <v>220340033636</v>
      </c>
      <c r="F214" s="200">
        <v>46135</v>
      </c>
      <c r="G214" s="201">
        <v>22272</v>
      </c>
      <c r="H214" s="181">
        <v>0</v>
      </c>
      <c r="I214" s="177">
        <f t="shared" si="6"/>
        <v>0</v>
      </c>
      <c r="J214" s="167">
        <f t="shared" si="7"/>
        <v>22272</v>
      </c>
      <c r="K214" s="178" t="s">
        <v>25</v>
      </c>
    </row>
    <row r="215" spans="1:11" ht="24">
      <c r="A215" s="216">
        <v>214</v>
      </c>
      <c r="B215" s="196" t="s">
        <v>67</v>
      </c>
      <c r="C215" s="197" t="s">
        <v>63</v>
      </c>
      <c r="D215" s="198" t="s">
        <v>172</v>
      </c>
      <c r="E215" s="199">
        <v>240840021199</v>
      </c>
      <c r="F215" s="200">
        <v>46135</v>
      </c>
      <c r="G215" s="201">
        <v>388228.7</v>
      </c>
      <c r="H215" s="181">
        <v>10</v>
      </c>
      <c r="I215" s="177">
        <f t="shared" si="6"/>
        <v>43093.385700000006</v>
      </c>
      <c r="J215" s="167">
        <f t="shared" si="7"/>
        <v>345135.31430000003</v>
      </c>
      <c r="K215" s="180" t="s">
        <v>226</v>
      </c>
    </row>
    <row r="216" spans="1:11" ht="24">
      <c r="A216" s="216">
        <v>215</v>
      </c>
      <c r="B216" s="196" t="s">
        <v>67</v>
      </c>
      <c r="C216" s="197" t="s">
        <v>63</v>
      </c>
      <c r="D216" s="198" t="s">
        <v>159</v>
      </c>
      <c r="E216" s="199">
        <v>950640001561</v>
      </c>
      <c r="F216" s="200">
        <v>46134</v>
      </c>
      <c r="G216" s="201">
        <v>143805.03</v>
      </c>
      <c r="H216" s="203">
        <v>0</v>
      </c>
      <c r="I216" s="181">
        <f t="shared" si="6"/>
        <v>0</v>
      </c>
      <c r="J216" s="166">
        <f t="shared" si="7"/>
        <v>143805.03</v>
      </c>
      <c r="K216" s="183" t="s">
        <v>226</v>
      </c>
    </row>
    <row r="217" spans="1:11" ht="24">
      <c r="A217" s="216">
        <v>216</v>
      </c>
      <c r="B217" s="196" t="s">
        <v>66</v>
      </c>
      <c r="C217" s="197" t="s">
        <v>63</v>
      </c>
      <c r="D217" s="198" t="s">
        <v>159</v>
      </c>
      <c r="E217" s="199">
        <v>950640001561</v>
      </c>
      <c r="F217" s="200">
        <v>46134</v>
      </c>
      <c r="G217" s="201">
        <v>132970.1</v>
      </c>
      <c r="H217" s="181">
        <v>0</v>
      </c>
      <c r="I217" s="177">
        <f t="shared" si="6"/>
        <v>0</v>
      </c>
      <c r="J217" s="167">
        <f t="shared" si="7"/>
        <v>132970.1</v>
      </c>
      <c r="K217" s="183" t="s">
        <v>226</v>
      </c>
    </row>
    <row r="218" spans="1:11" ht="24">
      <c r="A218" s="216">
        <v>217</v>
      </c>
      <c r="B218" s="196" t="s">
        <v>67</v>
      </c>
      <c r="C218" s="197" t="s">
        <v>63</v>
      </c>
      <c r="D218" s="198" t="s">
        <v>160</v>
      </c>
      <c r="E218" s="199">
        <v>950640001056</v>
      </c>
      <c r="F218" s="200">
        <v>46134</v>
      </c>
      <c r="G218" s="201">
        <v>192993.16</v>
      </c>
      <c r="H218" s="181">
        <v>10</v>
      </c>
      <c r="I218" s="169">
        <f t="shared" si="6"/>
        <v>21422.240760000004</v>
      </c>
      <c r="J218" s="166">
        <f t="shared" si="7"/>
        <v>171570.91923999999</v>
      </c>
      <c r="K218" s="183" t="s">
        <v>226</v>
      </c>
    </row>
    <row r="219" spans="1:11" ht="24">
      <c r="A219" s="216">
        <v>218</v>
      </c>
      <c r="B219" s="196" t="s">
        <v>66</v>
      </c>
      <c r="C219" s="197" t="s">
        <v>63</v>
      </c>
      <c r="D219" s="198" t="s">
        <v>160</v>
      </c>
      <c r="E219" s="199">
        <v>950640001056</v>
      </c>
      <c r="F219" s="200">
        <v>46134</v>
      </c>
      <c r="G219" s="201">
        <v>24378.03</v>
      </c>
      <c r="H219" s="181">
        <v>10</v>
      </c>
      <c r="I219" s="179">
        <f t="shared" si="6"/>
        <v>2705.9613300000001</v>
      </c>
      <c r="J219" s="167">
        <f t="shared" si="7"/>
        <v>21672.068670000001</v>
      </c>
      <c r="K219" s="180" t="s">
        <v>227</v>
      </c>
    </row>
    <row r="220" spans="1:11" ht="24">
      <c r="A220" s="216">
        <v>219</v>
      </c>
      <c r="B220" s="196" t="s">
        <v>67</v>
      </c>
      <c r="C220" s="197" t="s">
        <v>63</v>
      </c>
      <c r="D220" s="198" t="s">
        <v>171</v>
      </c>
      <c r="E220" s="199">
        <v>60740009772</v>
      </c>
      <c r="F220" s="200">
        <v>46135</v>
      </c>
      <c r="G220" s="201">
        <v>185600</v>
      </c>
      <c r="H220" s="181">
        <v>10</v>
      </c>
      <c r="I220" s="177">
        <f t="shared" si="6"/>
        <v>20601.600000000002</v>
      </c>
      <c r="J220" s="167">
        <f t="shared" si="7"/>
        <v>164998.39999999999</v>
      </c>
      <c r="K220" s="178" t="s">
        <v>228</v>
      </c>
    </row>
    <row r="221" spans="1:11" ht="24">
      <c r="A221" s="216">
        <v>220</v>
      </c>
      <c r="B221" s="196" t="s">
        <v>67</v>
      </c>
      <c r="C221" s="197" t="s">
        <v>63</v>
      </c>
      <c r="D221" s="198" t="s">
        <v>168</v>
      </c>
      <c r="E221" s="199">
        <v>20540006694</v>
      </c>
      <c r="F221" s="200">
        <v>46135</v>
      </c>
      <c r="G221" s="201">
        <v>35728</v>
      </c>
      <c r="H221" s="181">
        <v>0</v>
      </c>
      <c r="I221" s="177">
        <f t="shared" si="6"/>
        <v>0</v>
      </c>
      <c r="J221" s="167">
        <f t="shared" si="7"/>
        <v>35728</v>
      </c>
      <c r="K221" s="180" t="s">
        <v>226</v>
      </c>
    </row>
    <row r="222" spans="1:11" ht="24">
      <c r="A222" s="216">
        <v>221</v>
      </c>
      <c r="B222" s="196" t="s">
        <v>66</v>
      </c>
      <c r="C222" s="197" t="s">
        <v>63</v>
      </c>
      <c r="D222" s="198" t="s">
        <v>101</v>
      </c>
      <c r="E222" s="199">
        <v>950640001333</v>
      </c>
      <c r="F222" s="200">
        <v>46134</v>
      </c>
      <c r="G222" s="201">
        <v>53100.160000000003</v>
      </c>
      <c r="H222" s="181">
        <v>10</v>
      </c>
      <c r="I222" s="177">
        <f t="shared" si="6"/>
        <v>5894.117760000001</v>
      </c>
      <c r="J222" s="167">
        <f t="shared" si="7"/>
        <v>47206.042240000002</v>
      </c>
      <c r="K222" s="178" t="s">
        <v>227</v>
      </c>
    </row>
    <row r="223" spans="1:11" ht="24">
      <c r="A223" s="216">
        <v>222</v>
      </c>
      <c r="B223" s="196" t="s">
        <v>67</v>
      </c>
      <c r="C223" s="197" t="s">
        <v>63</v>
      </c>
      <c r="D223" s="198" t="s">
        <v>157</v>
      </c>
      <c r="E223" s="199">
        <v>950640001294</v>
      </c>
      <c r="F223" s="200">
        <v>46134</v>
      </c>
      <c r="G223" s="201">
        <v>105328</v>
      </c>
      <c r="H223" s="181">
        <v>0</v>
      </c>
      <c r="I223" s="179">
        <f t="shared" si="6"/>
        <v>0</v>
      </c>
      <c r="J223" s="167">
        <f t="shared" si="7"/>
        <v>105328</v>
      </c>
      <c r="K223" s="178" t="s">
        <v>226</v>
      </c>
    </row>
    <row r="224" spans="1:11" ht="24">
      <c r="A224" s="216">
        <v>223</v>
      </c>
      <c r="B224" s="196" t="s">
        <v>67</v>
      </c>
      <c r="C224" s="197" t="s">
        <v>63</v>
      </c>
      <c r="D224" s="198" t="s">
        <v>157</v>
      </c>
      <c r="E224" s="199">
        <v>950640001294</v>
      </c>
      <c r="F224" s="200">
        <v>46135</v>
      </c>
      <c r="G224" s="201">
        <v>49880</v>
      </c>
      <c r="H224" s="181"/>
      <c r="I224" s="177">
        <f t="shared" si="6"/>
        <v>0</v>
      </c>
      <c r="J224" s="167">
        <f t="shared" si="7"/>
        <v>49880</v>
      </c>
      <c r="K224" s="178" t="s">
        <v>226</v>
      </c>
    </row>
    <row r="225" spans="1:11" ht="24">
      <c r="A225" s="216">
        <v>224</v>
      </c>
      <c r="B225" s="196" t="s">
        <v>67</v>
      </c>
      <c r="C225" s="197" t="s">
        <v>63</v>
      </c>
      <c r="D225" s="198" t="s">
        <v>95</v>
      </c>
      <c r="E225" s="199">
        <v>950640001422</v>
      </c>
      <c r="F225" s="200">
        <v>46134</v>
      </c>
      <c r="G225" s="201">
        <v>90480</v>
      </c>
      <c r="H225" s="181"/>
      <c r="I225" s="177">
        <f t="shared" si="6"/>
        <v>0</v>
      </c>
      <c r="J225" s="167">
        <f t="shared" si="7"/>
        <v>90480</v>
      </c>
      <c r="K225" s="178" t="s">
        <v>227</v>
      </c>
    </row>
    <row r="226" spans="1:11" ht="24">
      <c r="A226" s="216">
        <v>225</v>
      </c>
      <c r="B226" s="196" t="s">
        <v>67</v>
      </c>
      <c r="C226" s="197" t="s">
        <v>63</v>
      </c>
      <c r="D226" s="198" t="s">
        <v>98</v>
      </c>
      <c r="E226" s="199">
        <v>950640001036</v>
      </c>
      <c r="F226" s="200">
        <v>46134</v>
      </c>
      <c r="G226" s="201">
        <v>137750</v>
      </c>
      <c r="H226" s="181">
        <v>10</v>
      </c>
      <c r="I226" s="177">
        <f t="shared" si="6"/>
        <v>15290.250000000002</v>
      </c>
      <c r="J226" s="167">
        <f t="shared" si="7"/>
        <v>122459.75</v>
      </c>
      <c r="K226" s="178" t="s">
        <v>227</v>
      </c>
    </row>
    <row r="227" spans="1:11" ht="24">
      <c r="A227" s="216">
        <v>226</v>
      </c>
      <c r="B227" s="196" t="s">
        <v>67</v>
      </c>
      <c r="C227" s="197" t="s">
        <v>63</v>
      </c>
      <c r="D227" s="198" t="s">
        <v>163</v>
      </c>
      <c r="E227" s="199">
        <v>950640001254</v>
      </c>
      <c r="F227" s="200">
        <v>46134</v>
      </c>
      <c r="G227" s="201">
        <v>297926.36</v>
      </c>
      <c r="H227" s="181">
        <v>10</v>
      </c>
      <c r="I227" s="169">
        <f t="shared" si="6"/>
        <v>33069.825959999995</v>
      </c>
      <c r="J227" s="166">
        <f t="shared" si="7"/>
        <v>264856.53404</v>
      </c>
      <c r="K227" s="183" t="s">
        <v>227</v>
      </c>
    </row>
    <row r="228" spans="1:11" ht="24">
      <c r="A228" s="216">
        <v>227</v>
      </c>
      <c r="B228" s="196" t="s">
        <v>66</v>
      </c>
      <c r="C228" s="197" t="s">
        <v>63</v>
      </c>
      <c r="D228" s="198" t="s">
        <v>163</v>
      </c>
      <c r="E228" s="199">
        <v>950640001254</v>
      </c>
      <c r="F228" s="200">
        <v>46134</v>
      </c>
      <c r="G228" s="201">
        <v>171980.08</v>
      </c>
      <c r="H228" s="181">
        <v>10</v>
      </c>
      <c r="I228" s="177">
        <f t="shared" si="6"/>
        <v>19089.78888</v>
      </c>
      <c r="J228" s="167">
        <f t="shared" si="7"/>
        <v>152890.29111999998</v>
      </c>
      <c r="K228" s="178" t="s">
        <v>227</v>
      </c>
    </row>
    <row r="229" spans="1:11" ht="24">
      <c r="A229" s="216">
        <v>228</v>
      </c>
      <c r="B229" s="196" t="s">
        <v>67</v>
      </c>
      <c r="C229" s="197" t="s">
        <v>63</v>
      </c>
      <c r="D229" s="198" t="s">
        <v>113</v>
      </c>
      <c r="E229" s="199">
        <v>950940000237</v>
      </c>
      <c r="F229" s="200">
        <v>46115</v>
      </c>
      <c r="G229" s="201">
        <v>24935.01</v>
      </c>
      <c r="H229" s="177">
        <v>10</v>
      </c>
      <c r="I229" s="177">
        <f t="shared" si="6"/>
        <v>2767.78611</v>
      </c>
      <c r="J229" s="167">
        <f t="shared" si="7"/>
        <v>22167.223889999997</v>
      </c>
      <c r="K229" s="178" t="s">
        <v>25</v>
      </c>
    </row>
    <row r="230" spans="1:11" ht="24">
      <c r="A230" s="216">
        <v>229</v>
      </c>
      <c r="B230" s="196" t="s">
        <v>67</v>
      </c>
      <c r="C230" s="197" t="s">
        <v>63</v>
      </c>
      <c r="D230" s="198" t="s">
        <v>113</v>
      </c>
      <c r="E230" s="199">
        <v>950940000237</v>
      </c>
      <c r="F230" s="200">
        <v>46135</v>
      </c>
      <c r="G230" s="201">
        <v>44892</v>
      </c>
      <c r="H230" s="181">
        <v>10</v>
      </c>
      <c r="I230" s="181">
        <f t="shared" si="6"/>
        <v>4983.0120000000006</v>
      </c>
      <c r="J230" s="166">
        <f t="shared" si="7"/>
        <v>39908.987999999998</v>
      </c>
      <c r="K230" s="178" t="s">
        <v>25</v>
      </c>
    </row>
    <row r="231" spans="1:11" ht="24">
      <c r="A231" s="216">
        <v>230</v>
      </c>
      <c r="B231" s="196" t="s">
        <v>66</v>
      </c>
      <c r="C231" s="197" t="s">
        <v>63</v>
      </c>
      <c r="D231" s="198" t="s">
        <v>128</v>
      </c>
      <c r="E231" s="199">
        <v>900140000080</v>
      </c>
      <c r="F231" s="200">
        <v>46120</v>
      </c>
      <c r="G231" s="201">
        <v>3491866.52</v>
      </c>
      <c r="H231" s="152">
        <v>50</v>
      </c>
      <c r="I231" s="177">
        <f t="shared" si="6"/>
        <v>1937985.9186000002</v>
      </c>
      <c r="J231" s="167">
        <f t="shared" si="7"/>
        <v>1553880.6013999998</v>
      </c>
      <c r="K231" s="180" t="s">
        <v>227</v>
      </c>
    </row>
    <row r="232" spans="1:11" ht="24">
      <c r="A232" s="216">
        <v>231</v>
      </c>
      <c r="B232" s="196" t="s">
        <v>67</v>
      </c>
      <c r="C232" s="197" t="s">
        <v>63</v>
      </c>
      <c r="D232" s="198" t="s">
        <v>128</v>
      </c>
      <c r="E232" s="199">
        <v>900140000080</v>
      </c>
      <c r="F232" s="200">
        <v>46129</v>
      </c>
      <c r="G232" s="201">
        <v>809422.25</v>
      </c>
      <c r="H232" s="203">
        <v>50</v>
      </c>
      <c r="I232" s="181">
        <f t="shared" si="6"/>
        <v>449229.34875000006</v>
      </c>
      <c r="J232" s="166">
        <f t="shared" si="7"/>
        <v>360192.90124999994</v>
      </c>
      <c r="K232" s="180" t="s">
        <v>227</v>
      </c>
    </row>
    <row r="233" spans="1:11" ht="24">
      <c r="A233" s="216">
        <v>232</v>
      </c>
      <c r="B233" s="196" t="s">
        <v>67</v>
      </c>
      <c r="C233" s="197" t="s">
        <v>63</v>
      </c>
      <c r="D233" s="198" t="s">
        <v>128</v>
      </c>
      <c r="E233" s="199">
        <v>900140000080</v>
      </c>
      <c r="F233" s="200">
        <v>46129</v>
      </c>
      <c r="G233" s="201">
        <v>3889713.21</v>
      </c>
      <c r="H233" s="203">
        <v>50</v>
      </c>
      <c r="I233" s="179">
        <f t="shared" si="6"/>
        <v>2158790.8315500002</v>
      </c>
      <c r="J233" s="167">
        <f t="shared" si="7"/>
        <v>1730922.3784499997</v>
      </c>
      <c r="K233" s="178" t="s">
        <v>227</v>
      </c>
    </row>
    <row r="234" spans="1:11" ht="24">
      <c r="A234" s="216">
        <v>233</v>
      </c>
      <c r="B234" s="196" t="s">
        <v>67</v>
      </c>
      <c r="C234" s="197" t="s">
        <v>63</v>
      </c>
      <c r="D234" s="198" t="s">
        <v>186</v>
      </c>
      <c r="E234" s="199">
        <v>930940000401</v>
      </c>
      <c r="F234" s="200">
        <v>46140</v>
      </c>
      <c r="G234" s="201">
        <v>102080</v>
      </c>
      <c r="H234" s="203">
        <v>0</v>
      </c>
      <c r="I234" s="177">
        <f t="shared" si="6"/>
        <v>0</v>
      </c>
      <c r="J234" s="167">
        <f t="shared" si="7"/>
        <v>102080</v>
      </c>
      <c r="K234" s="178" t="s">
        <v>226</v>
      </c>
    </row>
    <row r="235" spans="1:11" ht="24">
      <c r="A235" s="216">
        <v>234</v>
      </c>
      <c r="B235" s="196" t="s">
        <v>67</v>
      </c>
      <c r="C235" s="197" t="s">
        <v>63</v>
      </c>
      <c r="D235" s="198" t="s">
        <v>192</v>
      </c>
      <c r="E235" s="199">
        <v>950740000120</v>
      </c>
      <c r="F235" s="200">
        <v>46141</v>
      </c>
      <c r="G235" s="201">
        <v>55000.01</v>
      </c>
      <c r="H235" s="184">
        <v>10</v>
      </c>
      <c r="I235" s="177">
        <f t="shared" si="6"/>
        <v>6105.0011100000011</v>
      </c>
      <c r="J235" s="167">
        <f t="shared" si="7"/>
        <v>48895.008889999997</v>
      </c>
      <c r="K235" s="178" t="s">
        <v>227</v>
      </c>
    </row>
    <row r="236" spans="1:11" ht="24">
      <c r="A236" s="216">
        <v>235</v>
      </c>
      <c r="B236" s="196" t="s">
        <v>67</v>
      </c>
      <c r="C236" s="197" t="s">
        <v>63</v>
      </c>
      <c r="D236" s="198" t="s">
        <v>192</v>
      </c>
      <c r="E236" s="199">
        <v>950740000120</v>
      </c>
      <c r="F236" s="200">
        <v>46141</v>
      </c>
      <c r="G236" s="201">
        <v>141640.18</v>
      </c>
      <c r="H236" s="184">
        <v>10</v>
      </c>
      <c r="I236" s="177">
        <f t="shared" si="6"/>
        <v>15722.05998</v>
      </c>
      <c r="J236" s="167">
        <f t="shared" si="7"/>
        <v>125918.12001999999</v>
      </c>
      <c r="K236" s="178" t="s">
        <v>227</v>
      </c>
    </row>
    <row r="237" spans="1:11" ht="24">
      <c r="A237" s="216">
        <v>236</v>
      </c>
      <c r="B237" s="196" t="s">
        <v>67</v>
      </c>
      <c r="C237" s="197" t="s">
        <v>63</v>
      </c>
      <c r="D237" s="198" t="s">
        <v>192</v>
      </c>
      <c r="E237" s="199">
        <v>950740000120</v>
      </c>
      <c r="F237" s="200">
        <v>46141</v>
      </c>
      <c r="G237" s="201">
        <v>288108.40000000002</v>
      </c>
      <c r="H237" s="152">
        <v>10</v>
      </c>
      <c r="I237" s="177">
        <f t="shared" si="6"/>
        <v>31980.032400000004</v>
      </c>
      <c r="J237" s="167">
        <f t="shared" si="7"/>
        <v>256128.36760000003</v>
      </c>
      <c r="K237" s="178" t="s">
        <v>227</v>
      </c>
    </row>
    <row r="238" spans="1:11" ht="24">
      <c r="A238" s="216">
        <v>237</v>
      </c>
      <c r="B238" s="196" t="s">
        <v>66</v>
      </c>
      <c r="C238" s="197" t="s">
        <v>63</v>
      </c>
      <c r="D238" s="198" t="s">
        <v>192</v>
      </c>
      <c r="E238" s="199">
        <v>950740000120</v>
      </c>
      <c r="F238" s="200">
        <v>46141</v>
      </c>
      <c r="G238" s="201">
        <v>194725.43</v>
      </c>
      <c r="H238" s="152">
        <v>10</v>
      </c>
      <c r="I238" s="177">
        <f t="shared" si="6"/>
        <v>21614.522730000001</v>
      </c>
      <c r="J238" s="167">
        <f t="shared" si="7"/>
        <v>173110.90727</v>
      </c>
      <c r="K238" s="178" t="s">
        <v>227</v>
      </c>
    </row>
    <row r="239" spans="1:11" ht="24">
      <c r="A239" s="216">
        <v>238</v>
      </c>
      <c r="B239" s="196" t="s">
        <v>67</v>
      </c>
      <c r="C239" s="197" t="s">
        <v>63</v>
      </c>
      <c r="D239" s="198" t="s">
        <v>94</v>
      </c>
      <c r="E239" s="199">
        <v>241140017386</v>
      </c>
      <c r="F239" s="200">
        <v>46134</v>
      </c>
      <c r="G239" s="201">
        <v>35550.06</v>
      </c>
      <c r="H239" s="203">
        <v>10</v>
      </c>
      <c r="I239" s="177">
        <f t="shared" si="6"/>
        <v>3946.0566600000002</v>
      </c>
      <c r="J239" s="167">
        <f t="shared" si="7"/>
        <v>31604.003339999996</v>
      </c>
      <c r="K239" s="183" t="s">
        <v>227</v>
      </c>
    </row>
    <row r="240" spans="1:11" ht="24">
      <c r="A240" s="216">
        <v>239</v>
      </c>
      <c r="B240" s="196" t="s">
        <v>67</v>
      </c>
      <c r="C240" s="197" t="s">
        <v>63</v>
      </c>
      <c r="D240" s="198" t="s">
        <v>162</v>
      </c>
      <c r="E240" s="199">
        <v>970440002299</v>
      </c>
      <c r="F240" s="200">
        <v>46134</v>
      </c>
      <c r="G240" s="201">
        <v>295030.23</v>
      </c>
      <c r="H240" s="181">
        <v>0</v>
      </c>
      <c r="I240" s="179">
        <f t="shared" si="6"/>
        <v>0</v>
      </c>
      <c r="J240" s="167">
        <f t="shared" si="7"/>
        <v>295030.23</v>
      </c>
      <c r="K240" s="183" t="s">
        <v>226</v>
      </c>
    </row>
    <row r="241" spans="1:11" ht="24">
      <c r="A241" s="216">
        <v>240</v>
      </c>
      <c r="B241" s="196" t="s">
        <v>67</v>
      </c>
      <c r="C241" s="197" t="s">
        <v>63</v>
      </c>
      <c r="D241" s="198" t="s">
        <v>114</v>
      </c>
      <c r="E241" s="199">
        <v>950440001168</v>
      </c>
      <c r="F241" s="200">
        <v>46115</v>
      </c>
      <c r="G241" s="201">
        <v>39463.199999999997</v>
      </c>
      <c r="H241" s="181">
        <v>0</v>
      </c>
      <c r="I241" s="177">
        <f t="shared" si="6"/>
        <v>0</v>
      </c>
      <c r="J241" s="167">
        <f t="shared" si="7"/>
        <v>39463.199999999997</v>
      </c>
      <c r="K241" s="178" t="s">
        <v>25</v>
      </c>
    </row>
    <row r="242" spans="1:11" ht="24">
      <c r="A242" s="216">
        <v>241</v>
      </c>
      <c r="B242" s="196" t="s">
        <v>66</v>
      </c>
      <c r="C242" s="197" t="s">
        <v>63</v>
      </c>
      <c r="D242" s="198" t="s">
        <v>114</v>
      </c>
      <c r="E242" s="199">
        <v>950440001168</v>
      </c>
      <c r="F242" s="200">
        <v>46115</v>
      </c>
      <c r="G242" s="201">
        <v>99973.440000000002</v>
      </c>
      <c r="H242" s="203">
        <v>10</v>
      </c>
      <c r="I242" s="177">
        <f t="shared" si="6"/>
        <v>11097.051840000002</v>
      </c>
      <c r="J242" s="167">
        <f t="shared" si="7"/>
        <v>88876.388160000002</v>
      </c>
      <c r="K242" s="178" t="s">
        <v>25</v>
      </c>
    </row>
    <row r="243" spans="1:11">
      <c r="A243" s="216">
        <v>242</v>
      </c>
      <c r="B243" s="196" t="s">
        <v>67</v>
      </c>
      <c r="C243" s="197" t="s">
        <v>63</v>
      </c>
      <c r="D243" s="198" t="s">
        <v>169</v>
      </c>
      <c r="E243" s="199">
        <v>1240006375</v>
      </c>
      <c r="F243" s="200">
        <v>46135</v>
      </c>
      <c r="G243" s="201">
        <v>40000</v>
      </c>
      <c r="H243" s="181">
        <v>0</v>
      </c>
      <c r="I243" s="177">
        <f t="shared" si="6"/>
        <v>0</v>
      </c>
      <c r="J243" s="167">
        <f t="shared" si="7"/>
        <v>40000</v>
      </c>
      <c r="K243" s="180" t="s">
        <v>226</v>
      </c>
    </row>
    <row r="244" spans="1:11">
      <c r="A244" s="216">
        <v>243</v>
      </c>
      <c r="B244" s="196" t="s">
        <v>67</v>
      </c>
      <c r="C244" s="197" t="s">
        <v>63</v>
      </c>
      <c r="D244" s="198" t="s">
        <v>123</v>
      </c>
      <c r="E244" s="199">
        <v>950640001353</v>
      </c>
      <c r="F244" s="200">
        <v>46119</v>
      </c>
      <c r="G244" s="201">
        <v>49648</v>
      </c>
      <c r="H244" s="184">
        <v>0</v>
      </c>
      <c r="I244" s="177">
        <f t="shared" si="6"/>
        <v>0</v>
      </c>
      <c r="J244" s="167">
        <f t="shared" si="7"/>
        <v>49648</v>
      </c>
      <c r="K244" s="180" t="s">
        <v>227</v>
      </c>
    </row>
    <row r="245" spans="1:11">
      <c r="A245" s="216">
        <v>244</v>
      </c>
      <c r="B245" s="196" t="s">
        <v>66</v>
      </c>
      <c r="C245" s="197" t="s">
        <v>63</v>
      </c>
      <c r="D245" s="198" t="s">
        <v>123</v>
      </c>
      <c r="E245" s="199">
        <v>950640001353</v>
      </c>
      <c r="F245" s="200">
        <v>46119</v>
      </c>
      <c r="G245" s="201">
        <v>39463.199999999997</v>
      </c>
      <c r="H245" s="184">
        <v>0</v>
      </c>
      <c r="I245" s="181">
        <f t="shared" si="6"/>
        <v>0</v>
      </c>
      <c r="J245" s="166">
        <f t="shared" si="7"/>
        <v>39463.199999999997</v>
      </c>
      <c r="K245" s="180" t="s">
        <v>227</v>
      </c>
    </row>
    <row r="246" spans="1:11">
      <c r="A246" s="216">
        <v>245</v>
      </c>
      <c r="B246" s="196" t="s">
        <v>67</v>
      </c>
      <c r="C246" s="197" t="s">
        <v>63</v>
      </c>
      <c r="D246" s="198" t="s">
        <v>123</v>
      </c>
      <c r="E246" s="199">
        <v>950640001353</v>
      </c>
      <c r="F246" s="200">
        <v>46120</v>
      </c>
      <c r="G246" s="201">
        <v>199589.6</v>
      </c>
      <c r="H246" s="184">
        <v>0</v>
      </c>
      <c r="I246" s="177">
        <f t="shared" si="6"/>
        <v>0</v>
      </c>
      <c r="J246" s="167">
        <f t="shared" si="7"/>
        <v>199589.6</v>
      </c>
      <c r="K246" s="180" t="s">
        <v>227</v>
      </c>
    </row>
    <row r="247" spans="1:11" ht="24">
      <c r="A247" s="216">
        <v>246</v>
      </c>
      <c r="B247" s="196" t="s">
        <v>67</v>
      </c>
      <c r="C247" s="197" t="s">
        <v>63</v>
      </c>
      <c r="D247" s="198" t="s">
        <v>170</v>
      </c>
      <c r="E247" s="199">
        <v>970540001501</v>
      </c>
      <c r="F247" s="200">
        <v>46135</v>
      </c>
      <c r="G247" s="201">
        <v>104380</v>
      </c>
      <c r="H247" s="181">
        <v>10</v>
      </c>
      <c r="I247" s="177">
        <f t="shared" si="6"/>
        <v>11586.18</v>
      </c>
      <c r="J247" s="167">
        <f t="shared" si="7"/>
        <v>92793.82</v>
      </c>
      <c r="K247" s="178" t="s">
        <v>25</v>
      </c>
    </row>
    <row r="248" spans="1:11" ht="24">
      <c r="A248" s="216">
        <v>247</v>
      </c>
      <c r="B248" s="196" t="s">
        <v>66</v>
      </c>
      <c r="C248" s="197" t="s">
        <v>63</v>
      </c>
      <c r="D248" s="198" t="s">
        <v>144</v>
      </c>
      <c r="E248" s="199">
        <v>920240000721</v>
      </c>
      <c r="F248" s="200">
        <v>46128</v>
      </c>
      <c r="G248" s="205">
        <v>80040</v>
      </c>
      <c r="H248" s="181">
        <v>10</v>
      </c>
      <c r="I248" s="181">
        <f t="shared" si="6"/>
        <v>8884.44</v>
      </c>
      <c r="J248" s="166">
        <f t="shared" si="7"/>
        <v>71155.56</v>
      </c>
      <c r="K248" s="180" t="s">
        <v>226</v>
      </c>
    </row>
    <row r="249" spans="1:11" ht="24">
      <c r="A249" s="216">
        <v>248</v>
      </c>
      <c r="B249" s="196" t="s">
        <v>67</v>
      </c>
      <c r="C249" s="197" t="s">
        <v>63</v>
      </c>
      <c r="D249" s="198" t="s">
        <v>144</v>
      </c>
      <c r="E249" s="199">
        <v>920240000721</v>
      </c>
      <c r="F249" s="200">
        <v>46134</v>
      </c>
      <c r="G249" s="201">
        <v>219911.92</v>
      </c>
      <c r="H249" s="181">
        <v>10</v>
      </c>
      <c r="I249" s="177">
        <f t="shared" si="6"/>
        <v>24410.223120000006</v>
      </c>
      <c r="J249" s="167">
        <f t="shared" si="7"/>
        <v>195501.69688</v>
      </c>
      <c r="K249" s="183" t="s">
        <v>226</v>
      </c>
    </row>
    <row r="250" spans="1:11" ht="24">
      <c r="A250" s="216">
        <v>249</v>
      </c>
      <c r="B250" s="196" t="s">
        <v>66</v>
      </c>
      <c r="C250" s="197" t="s">
        <v>63</v>
      </c>
      <c r="D250" s="198" t="s">
        <v>145</v>
      </c>
      <c r="E250" s="199">
        <v>990140001888</v>
      </c>
      <c r="F250" s="200">
        <v>46128</v>
      </c>
      <c r="G250" s="205">
        <v>86750</v>
      </c>
      <c r="H250" s="181">
        <v>10</v>
      </c>
      <c r="I250" s="177">
        <f t="shared" si="6"/>
        <v>9629.25</v>
      </c>
      <c r="J250" s="167">
        <f t="shared" si="7"/>
        <v>77120.75</v>
      </c>
      <c r="K250" s="180" t="s">
        <v>226</v>
      </c>
    </row>
    <row r="251" spans="1:11" ht="24">
      <c r="A251" s="216">
        <v>250</v>
      </c>
      <c r="B251" s="196" t="s">
        <v>67</v>
      </c>
      <c r="C251" s="197" t="s">
        <v>63</v>
      </c>
      <c r="D251" s="198" t="s">
        <v>145</v>
      </c>
      <c r="E251" s="199">
        <v>990140001888</v>
      </c>
      <c r="F251" s="200">
        <v>46128</v>
      </c>
      <c r="G251" s="201">
        <v>106230</v>
      </c>
      <c r="H251" s="177">
        <v>0</v>
      </c>
      <c r="I251" s="177">
        <f t="shared" si="6"/>
        <v>0</v>
      </c>
      <c r="J251" s="167">
        <f t="shared" si="7"/>
        <v>106230</v>
      </c>
      <c r="K251" s="180" t="s">
        <v>226</v>
      </c>
    </row>
    <row r="252" spans="1:11" ht="24">
      <c r="A252" s="216">
        <v>251</v>
      </c>
      <c r="B252" s="196" t="s">
        <v>67</v>
      </c>
      <c r="C252" s="197" t="s">
        <v>63</v>
      </c>
      <c r="D252" s="198" t="s">
        <v>177</v>
      </c>
      <c r="E252" s="199">
        <v>950640000652</v>
      </c>
      <c r="F252" s="200">
        <v>46136</v>
      </c>
      <c r="G252" s="201">
        <v>177050.22</v>
      </c>
      <c r="H252" s="204">
        <v>10</v>
      </c>
      <c r="I252" s="177">
        <f t="shared" si="6"/>
        <v>19652.574420000004</v>
      </c>
      <c r="J252" s="167">
        <f t="shared" si="7"/>
        <v>157397.64558000001</v>
      </c>
      <c r="K252" s="178" t="s">
        <v>227</v>
      </c>
    </row>
    <row r="253" spans="1:11" ht="24">
      <c r="A253" s="216">
        <v>252</v>
      </c>
      <c r="B253" s="196" t="s">
        <v>67</v>
      </c>
      <c r="C253" s="197" t="s">
        <v>63</v>
      </c>
      <c r="D253" s="198" t="s">
        <v>93</v>
      </c>
      <c r="E253" s="199">
        <v>10140002417</v>
      </c>
      <c r="F253" s="200">
        <v>46133</v>
      </c>
      <c r="G253" s="201">
        <v>342507</v>
      </c>
      <c r="H253" s="181">
        <v>10</v>
      </c>
      <c r="I253" s="177">
        <f t="shared" si="6"/>
        <v>38018.277000000002</v>
      </c>
      <c r="J253" s="167">
        <f t="shared" si="7"/>
        <v>304488.723</v>
      </c>
      <c r="K253" s="178" t="s">
        <v>25</v>
      </c>
    </row>
    <row r="254" spans="1:11" ht="24">
      <c r="A254" s="216">
        <v>253</v>
      </c>
      <c r="B254" s="196" t="s">
        <v>67</v>
      </c>
      <c r="C254" s="197" t="s">
        <v>63</v>
      </c>
      <c r="D254" s="198" t="s">
        <v>93</v>
      </c>
      <c r="E254" s="199">
        <v>10140002417</v>
      </c>
      <c r="F254" s="200">
        <v>46134</v>
      </c>
      <c r="G254" s="201">
        <v>141640</v>
      </c>
      <c r="H254" s="181">
        <v>10</v>
      </c>
      <c r="I254" s="181">
        <f t="shared" si="6"/>
        <v>15722.04</v>
      </c>
      <c r="J254" s="166">
        <f t="shared" si="7"/>
        <v>125917.95999999999</v>
      </c>
      <c r="K254" s="178" t="s">
        <v>25</v>
      </c>
    </row>
    <row r="255" spans="1:11" ht="24">
      <c r="A255" s="216">
        <v>254</v>
      </c>
      <c r="B255" s="196" t="s">
        <v>66</v>
      </c>
      <c r="C255" s="197" t="s">
        <v>63</v>
      </c>
      <c r="D255" s="198" t="s">
        <v>93</v>
      </c>
      <c r="E255" s="199">
        <v>10140002417</v>
      </c>
      <c r="F255" s="200">
        <v>46134</v>
      </c>
      <c r="G255" s="201">
        <v>409932</v>
      </c>
      <c r="H255" s="181">
        <v>10</v>
      </c>
      <c r="I255" s="177">
        <f t="shared" si="6"/>
        <v>45502.451999999997</v>
      </c>
      <c r="J255" s="167">
        <f t="shared" si="7"/>
        <v>364429.54800000001</v>
      </c>
      <c r="K255" s="178" t="s">
        <v>25</v>
      </c>
    </row>
    <row r="256" spans="1:11" ht="24">
      <c r="A256" s="216">
        <v>255</v>
      </c>
      <c r="B256" s="196" t="s">
        <v>66</v>
      </c>
      <c r="C256" s="197" t="s">
        <v>63</v>
      </c>
      <c r="D256" s="198" t="s">
        <v>156</v>
      </c>
      <c r="E256" s="199">
        <v>180440015512</v>
      </c>
      <c r="F256" s="200">
        <v>46133</v>
      </c>
      <c r="G256" s="201">
        <v>4208905.21</v>
      </c>
      <c r="H256" s="181">
        <v>10</v>
      </c>
      <c r="I256" s="177">
        <f t="shared" si="6"/>
        <v>467188.47831000003</v>
      </c>
      <c r="J256" s="167">
        <f t="shared" si="7"/>
        <v>3741716.7316899998</v>
      </c>
      <c r="K256" s="178" t="s">
        <v>25</v>
      </c>
    </row>
    <row r="257" spans="1:11" ht="24">
      <c r="A257" s="216">
        <v>256</v>
      </c>
      <c r="B257" s="196" t="s">
        <v>66</v>
      </c>
      <c r="C257" s="197" t="s">
        <v>63</v>
      </c>
      <c r="D257" s="198" t="s">
        <v>174</v>
      </c>
      <c r="E257" s="199">
        <v>101040015378</v>
      </c>
      <c r="F257" s="200">
        <v>46135</v>
      </c>
      <c r="G257" s="201">
        <v>1368172.23</v>
      </c>
      <c r="H257" s="177">
        <v>10</v>
      </c>
      <c r="I257" s="177">
        <f t="shared" si="6"/>
        <v>151867.11753000002</v>
      </c>
      <c r="J257" s="167">
        <f t="shared" si="7"/>
        <v>1216305.1124700001</v>
      </c>
      <c r="K257" s="178" t="s">
        <v>227</v>
      </c>
    </row>
    <row r="258" spans="1:11">
      <c r="A258" s="216">
        <v>257</v>
      </c>
      <c r="B258" s="188" t="s">
        <v>67</v>
      </c>
      <c r="C258" s="189" t="s">
        <v>63</v>
      </c>
      <c r="D258" s="190" t="s">
        <v>107</v>
      </c>
      <c r="E258" s="191">
        <v>240940035132</v>
      </c>
      <c r="F258" s="192">
        <v>46113</v>
      </c>
      <c r="G258" s="193">
        <v>8294</v>
      </c>
      <c r="H258" s="194">
        <v>0</v>
      </c>
      <c r="I258" s="177">
        <f t="shared" ref="I258:I272" si="8">((G258*H258)/100)*1.11</f>
        <v>0</v>
      </c>
      <c r="J258" s="167">
        <f t="shared" ref="J258:J272" si="9">G258-I258</f>
        <v>8294</v>
      </c>
      <c r="K258" s="195" t="s">
        <v>226</v>
      </c>
    </row>
    <row r="259" spans="1:11">
      <c r="A259" s="216">
        <v>258</v>
      </c>
      <c r="B259" s="196" t="s">
        <v>67</v>
      </c>
      <c r="C259" s="197" t="s">
        <v>63</v>
      </c>
      <c r="D259" s="198" t="s">
        <v>126</v>
      </c>
      <c r="E259" s="199">
        <v>990540002444</v>
      </c>
      <c r="F259" s="200">
        <v>46120</v>
      </c>
      <c r="G259" s="201">
        <v>375456.1</v>
      </c>
      <c r="H259" s="152">
        <v>10</v>
      </c>
      <c r="I259" s="181">
        <f t="shared" si="8"/>
        <v>41675.627100000005</v>
      </c>
      <c r="J259" s="166">
        <f t="shared" si="9"/>
        <v>333780.47289999999</v>
      </c>
      <c r="K259" s="178" t="s">
        <v>25</v>
      </c>
    </row>
    <row r="260" spans="1:11">
      <c r="A260" s="216">
        <v>259</v>
      </c>
      <c r="B260" s="196" t="s">
        <v>66</v>
      </c>
      <c r="C260" s="197" t="s">
        <v>63</v>
      </c>
      <c r="D260" s="198" t="s">
        <v>126</v>
      </c>
      <c r="E260" s="199">
        <v>990540002444</v>
      </c>
      <c r="F260" s="200">
        <v>46120</v>
      </c>
      <c r="G260" s="201">
        <v>165983.67999999999</v>
      </c>
      <c r="H260" s="152">
        <v>10</v>
      </c>
      <c r="I260" s="177">
        <f t="shared" si="8"/>
        <v>18424.188480000001</v>
      </c>
      <c r="J260" s="167">
        <f t="shared" si="9"/>
        <v>147559.49151999998</v>
      </c>
      <c r="K260" s="178" t="s">
        <v>25</v>
      </c>
    </row>
    <row r="261" spans="1:11" ht="15" thickBot="1">
      <c r="A261" s="216">
        <v>260</v>
      </c>
      <c r="B261" s="196" t="s">
        <v>67</v>
      </c>
      <c r="C261" s="197" t="s">
        <v>63</v>
      </c>
      <c r="D261" s="198" t="s">
        <v>126</v>
      </c>
      <c r="E261" s="199">
        <v>990540002444</v>
      </c>
      <c r="F261" s="200">
        <v>46121</v>
      </c>
      <c r="G261" s="201">
        <v>2674352.9900000002</v>
      </c>
      <c r="H261" s="152">
        <v>10</v>
      </c>
      <c r="I261" s="177">
        <f t="shared" si="8"/>
        <v>296853.18189000001</v>
      </c>
      <c r="J261" s="166">
        <f t="shared" si="9"/>
        <v>2377499.8081100001</v>
      </c>
      <c r="K261" s="178" t="s">
        <v>25</v>
      </c>
    </row>
    <row r="262" spans="1:11" ht="15" thickBot="1">
      <c r="A262" s="216">
        <v>261</v>
      </c>
      <c r="B262" s="218" t="s">
        <v>66</v>
      </c>
      <c r="C262" s="219" t="s">
        <v>63</v>
      </c>
      <c r="D262" s="221" t="s">
        <v>126</v>
      </c>
      <c r="E262" s="222">
        <v>990540002444</v>
      </c>
      <c r="F262" s="224">
        <v>46134</v>
      </c>
      <c r="G262" s="226">
        <v>2014082.96</v>
      </c>
      <c r="H262" s="232">
        <v>10</v>
      </c>
      <c r="I262" s="237">
        <f t="shared" si="8"/>
        <v>223563.20856000003</v>
      </c>
      <c r="J262" s="187">
        <f t="shared" si="9"/>
        <v>1790519.75144</v>
      </c>
      <c r="K262" s="178" t="s">
        <v>25</v>
      </c>
    </row>
    <row r="263" spans="1:11" ht="15" thickBot="1">
      <c r="A263" s="216">
        <v>262</v>
      </c>
      <c r="B263" s="218" t="s">
        <v>67</v>
      </c>
      <c r="C263" s="219" t="s">
        <v>63</v>
      </c>
      <c r="D263" s="221" t="s">
        <v>151</v>
      </c>
      <c r="E263" s="222">
        <v>970840002035</v>
      </c>
      <c r="F263" s="224">
        <v>46129</v>
      </c>
      <c r="G263" s="226">
        <v>1005901.31</v>
      </c>
      <c r="H263" s="228">
        <v>10</v>
      </c>
      <c r="I263" s="177">
        <f t="shared" si="8"/>
        <v>111655.04541000002</v>
      </c>
      <c r="J263" s="167">
        <f t="shared" si="9"/>
        <v>894246.26459000004</v>
      </c>
      <c r="K263" s="178" t="s">
        <v>25</v>
      </c>
    </row>
    <row r="264" spans="1:11" ht="15" thickBot="1">
      <c r="A264" s="216">
        <v>263</v>
      </c>
      <c r="B264" s="218" t="s">
        <v>66</v>
      </c>
      <c r="C264" s="219" t="s">
        <v>63</v>
      </c>
      <c r="D264" s="221" t="s">
        <v>151</v>
      </c>
      <c r="E264" s="222">
        <v>970840002035</v>
      </c>
      <c r="F264" s="224">
        <v>46129</v>
      </c>
      <c r="G264" s="226">
        <v>186650</v>
      </c>
      <c r="H264" s="232">
        <v>10</v>
      </c>
      <c r="I264" s="177">
        <f t="shared" si="8"/>
        <v>20718.150000000001</v>
      </c>
      <c r="J264" s="167">
        <f t="shared" si="9"/>
        <v>165931.85</v>
      </c>
      <c r="K264" s="178" t="s">
        <v>25</v>
      </c>
    </row>
    <row r="265" spans="1:11" ht="15" thickBot="1">
      <c r="A265" s="216">
        <v>264</v>
      </c>
      <c r="B265" s="218" t="s">
        <v>67</v>
      </c>
      <c r="C265" s="219" t="s">
        <v>63</v>
      </c>
      <c r="D265" s="221" t="s">
        <v>112</v>
      </c>
      <c r="E265" s="222">
        <v>151240019822</v>
      </c>
      <c r="F265" s="224">
        <v>46115</v>
      </c>
      <c r="G265" s="226">
        <v>13910</v>
      </c>
      <c r="H265" s="234">
        <v>10</v>
      </c>
      <c r="I265" s="181">
        <f t="shared" si="8"/>
        <v>1544.0100000000002</v>
      </c>
      <c r="J265" s="166">
        <f t="shared" si="9"/>
        <v>12365.99</v>
      </c>
      <c r="K265" s="178" t="s">
        <v>226</v>
      </c>
    </row>
    <row r="266" spans="1:11" ht="15" thickBot="1">
      <c r="A266" s="216">
        <v>265</v>
      </c>
      <c r="B266" s="218" t="s">
        <v>67</v>
      </c>
      <c r="C266" s="219" t="s">
        <v>63</v>
      </c>
      <c r="D266" s="221" t="s">
        <v>112</v>
      </c>
      <c r="E266" s="222">
        <v>151240019822</v>
      </c>
      <c r="F266" s="224">
        <v>46115</v>
      </c>
      <c r="G266" s="226">
        <v>71440</v>
      </c>
      <c r="H266" s="236">
        <v>10</v>
      </c>
      <c r="I266" s="177">
        <f t="shared" si="8"/>
        <v>7929.8400000000011</v>
      </c>
      <c r="J266" s="167">
        <f t="shared" si="9"/>
        <v>63510.159999999996</v>
      </c>
      <c r="K266" s="183" t="s">
        <v>226</v>
      </c>
    </row>
    <row r="267" spans="1:11" ht="15" thickBot="1">
      <c r="A267" s="216">
        <v>266</v>
      </c>
      <c r="B267" s="218" t="s">
        <v>67</v>
      </c>
      <c r="C267" s="219" t="s">
        <v>63</v>
      </c>
      <c r="D267" s="221" t="s">
        <v>112</v>
      </c>
      <c r="E267" s="222">
        <v>151240019822</v>
      </c>
      <c r="F267" s="224">
        <v>46115</v>
      </c>
      <c r="G267" s="226">
        <v>101088</v>
      </c>
      <c r="H267" s="230">
        <v>10</v>
      </c>
      <c r="I267" s="177">
        <f t="shared" si="8"/>
        <v>11220.768</v>
      </c>
      <c r="J267" s="167">
        <f t="shared" si="9"/>
        <v>89867.232000000004</v>
      </c>
      <c r="K267" s="183" t="s">
        <v>226</v>
      </c>
    </row>
    <row r="268" spans="1:11" ht="15" thickBot="1">
      <c r="A268" s="216">
        <v>267</v>
      </c>
      <c r="B268" s="218" t="s">
        <v>67</v>
      </c>
      <c r="C268" s="219" t="s">
        <v>63</v>
      </c>
      <c r="D268" s="221" t="s">
        <v>112</v>
      </c>
      <c r="E268" s="222">
        <v>151240019822</v>
      </c>
      <c r="F268" s="224">
        <v>46115</v>
      </c>
      <c r="G268" s="226">
        <v>335580</v>
      </c>
      <c r="H268" s="228">
        <v>10</v>
      </c>
      <c r="I268" s="179">
        <f t="shared" si="8"/>
        <v>37249.380000000005</v>
      </c>
      <c r="J268" s="167">
        <f t="shared" si="9"/>
        <v>298330.62</v>
      </c>
      <c r="K268" s="183" t="s">
        <v>226</v>
      </c>
    </row>
    <row r="269" spans="1:11" ht="15" thickBot="1">
      <c r="A269" s="216">
        <v>268</v>
      </c>
      <c r="B269" s="218" t="s">
        <v>66</v>
      </c>
      <c r="C269" s="219" t="s">
        <v>63</v>
      </c>
      <c r="D269" s="221" t="s">
        <v>112</v>
      </c>
      <c r="E269" s="222">
        <v>151240019822</v>
      </c>
      <c r="F269" s="224">
        <v>46115</v>
      </c>
      <c r="G269" s="226">
        <v>384068.88</v>
      </c>
      <c r="H269" s="230">
        <v>10</v>
      </c>
      <c r="I269" s="181">
        <f t="shared" si="8"/>
        <v>42631.645680000001</v>
      </c>
      <c r="J269" s="166">
        <f t="shared" si="9"/>
        <v>341437.23431999999</v>
      </c>
      <c r="K269" s="183" t="s">
        <v>226</v>
      </c>
    </row>
    <row r="270" spans="1:11" ht="15" thickBot="1">
      <c r="A270" s="216">
        <v>269</v>
      </c>
      <c r="B270" s="218" t="s">
        <v>67</v>
      </c>
      <c r="C270" s="238" t="s">
        <v>106</v>
      </c>
      <c r="D270" s="239" t="s">
        <v>229</v>
      </c>
      <c r="E270" s="239">
        <v>240940014605</v>
      </c>
      <c r="F270" s="239" t="s">
        <v>230</v>
      </c>
      <c r="G270" s="240">
        <v>276599.67999999999</v>
      </c>
      <c r="H270" s="241">
        <v>30</v>
      </c>
      <c r="I270" s="177">
        <f t="shared" si="8"/>
        <v>92107.693440000003</v>
      </c>
      <c r="J270" s="167">
        <f t="shared" si="9"/>
        <v>184491.98655999999</v>
      </c>
      <c r="K270" s="42" t="s">
        <v>227</v>
      </c>
    </row>
    <row r="271" spans="1:11" ht="15" thickBot="1">
      <c r="A271" s="216">
        <v>270</v>
      </c>
      <c r="B271" s="218" t="s">
        <v>67</v>
      </c>
      <c r="C271" s="238" t="s">
        <v>106</v>
      </c>
      <c r="D271" s="239" t="s">
        <v>229</v>
      </c>
      <c r="E271" s="239">
        <v>240940014605</v>
      </c>
      <c r="F271" s="239" t="s">
        <v>230</v>
      </c>
      <c r="G271" s="240">
        <v>1174200.8600000001</v>
      </c>
      <c r="H271" s="241">
        <v>30</v>
      </c>
      <c r="I271" s="177">
        <f t="shared" si="8"/>
        <v>391008.88638000004</v>
      </c>
      <c r="J271" s="167">
        <f t="shared" si="9"/>
        <v>783191.97362000006</v>
      </c>
      <c r="K271" s="42" t="s">
        <v>227</v>
      </c>
    </row>
    <row r="272" spans="1:11" ht="15" thickBot="1">
      <c r="A272" s="216">
        <v>271</v>
      </c>
      <c r="B272" s="218" t="s">
        <v>67</v>
      </c>
      <c r="C272" s="238" t="s">
        <v>106</v>
      </c>
      <c r="D272" s="239" t="s">
        <v>229</v>
      </c>
      <c r="E272" s="239">
        <v>240940014605</v>
      </c>
      <c r="F272" s="239" t="s">
        <v>231</v>
      </c>
      <c r="G272" s="240">
        <v>660100.31999999995</v>
      </c>
      <c r="H272" s="241">
        <v>30</v>
      </c>
      <c r="I272" s="181">
        <f t="shared" si="8"/>
        <v>219813.40656</v>
      </c>
      <c r="J272" s="166">
        <f t="shared" si="9"/>
        <v>440286.91343999992</v>
      </c>
      <c r="K272" s="42" t="s">
        <v>227</v>
      </c>
    </row>
  </sheetData>
  <autoFilter ref="A1:K272" xr:uid="{8A01FCEE-88AA-42AA-A82E-1652C0D7EA2D}">
    <sortState xmlns:xlrd2="http://schemas.microsoft.com/office/spreadsheetml/2017/richdata2" ref="A2:K278">
      <sortCondition ref="C1:C272"/>
    </sortState>
  </autoFilter>
  <pageMargins left="0.7" right="0.7" top="0.75" bottom="0.75" header="0.3" footer="0.3"/>
  <pageSetup paperSize="9" orientation="portrait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2CD12-7017-4591-8FF0-B3607110DA2A}">
  <dimension ref="A1:AF192"/>
  <sheetViews>
    <sheetView zoomScaleNormal="100" workbookViewId="0">
      <selection activeCell="I11" sqref="I11"/>
    </sheetView>
  </sheetViews>
  <sheetFormatPr defaultRowHeight="14.5"/>
  <cols>
    <col min="1" max="1" width="4.453125" bestFit="1" customWidth="1"/>
    <col min="2" max="2" width="4.453125" style="70" customWidth="1"/>
    <col min="3" max="3" width="15" style="2" bestFit="1" customWidth="1"/>
    <col min="4" max="4" width="66.54296875" style="2" customWidth="1"/>
    <col min="5" max="5" width="16.26953125" style="3" customWidth="1"/>
    <col min="6" max="6" width="22.453125" style="2" customWidth="1"/>
    <col min="7" max="7" width="14.54296875" style="31" bestFit="1" customWidth="1"/>
    <col min="8" max="8" width="13" style="2" customWidth="1"/>
    <col min="9" max="9" width="12" style="7" bestFit="1" customWidth="1"/>
    <col min="10" max="10" width="16.54296875" style="7" bestFit="1" customWidth="1"/>
    <col min="11" max="11" width="22.453125" style="2" bestFit="1" customWidth="1"/>
    <col min="12" max="12" width="12.1796875" style="2" bestFit="1" customWidth="1"/>
    <col min="13" max="13" width="15" bestFit="1" customWidth="1"/>
    <col min="14" max="14" width="16.7265625" bestFit="1" customWidth="1"/>
    <col min="15" max="15" width="21.26953125" bestFit="1" customWidth="1"/>
    <col min="16" max="16" width="27.453125" bestFit="1" customWidth="1"/>
    <col min="17" max="17" width="11" bestFit="1" customWidth="1"/>
    <col min="18" max="21" width="13.1796875" bestFit="1" customWidth="1"/>
    <col min="22" max="22" width="12.1796875" bestFit="1" customWidth="1"/>
    <col min="23" max="27" width="13.1796875" bestFit="1" customWidth="1"/>
    <col min="28" max="28" width="12.1796875" bestFit="1" customWidth="1"/>
    <col min="29" max="30" width="13.1796875" bestFit="1" customWidth="1"/>
    <col min="31" max="32" width="14.7265625" bestFit="1" customWidth="1"/>
  </cols>
  <sheetData>
    <row r="1" spans="1:32" ht="27" thickBot="1">
      <c r="A1" s="87" t="s">
        <v>0</v>
      </c>
      <c r="B1" s="165" t="s">
        <v>55</v>
      </c>
      <c r="C1" s="87" t="s">
        <v>1</v>
      </c>
      <c r="D1" s="87" t="s">
        <v>2</v>
      </c>
      <c r="E1" s="88" t="s">
        <v>3</v>
      </c>
      <c r="F1" s="87" t="s">
        <v>4</v>
      </c>
      <c r="G1" s="130" t="s">
        <v>5</v>
      </c>
      <c r="H1" s="89" t="s">
        <v>6</v>
      </c>
      <c r="I1" s="90" t="s">
        <v>7</v>
      </c>
      <c r="J1" s="90" t="s">
        <v>8</v>
      </c>
      <c r="K1" s="87" t="s">
        <v>9</v>
      </c>
      <c r="L1" s="87" t="s">
        <v>10</v>
      </c>
    </row>
    <row r="2" spans="1:32" s="6" customFormat="1" ht="15" thickBot="1">
      <c r="A2" s="101">
        <v>1</v>
      </c>
      <c r="B2" s="121"/>
      <c r="C2" s="124"/>
      <c r="D2" s="154"/>
      <c r="E2" s="125"/>
      <c r="F2" s="126"/>
      <c r="G2" s="163"/>
      <c r="H2" s="99"/>
      <c r="I2" s="34">
        <f>((G2*H2)/100)*1.11</f>
        <v>0</v>
      </c>
      <c r="J2" s="34">
        <f t="shared" ref="J2:J9" si="0">G2-I2</f>
        <v>0</v>
      </c>
      <c r="K2" s="78"/>
      <c r="L2" s="35"/>
      <c r="N2" s="143" t="s">
        <v>42</v>
      </c>
      <c r="O2" s="144" t="s">
        <v>48</v>
      </c>
      <c r="P2" s="144" t="s">
        <v>45</v>
      </c>
    </row>
    <row r="3" spans="1:32" s="6" customFormat="1" ht="15" thickBot="1">
      <c r="A3" s="101">
        <v>2</v>
      </c>
      <c r="B3" s="129"/>
      <c r="C3" s="145"/>
      <c r="D3" s="155"/>
      <c r="E3" s="119"/>
      <c r="F3" s="127"/>
      <c r="G3" s="162"/>
      <c r="H3" s="100"/>
      <c r="I3" s="34">
        <f>((G3*H3)/100)*1.11</f>
        <v>0</v>
      </c>
      <c r="J3" s="34">
        <f t="shared" si="0"/>
        <v>0</v>
      </c>
      <c r="K3" s="152"/>
      <c r="L3" s="35"/>
      <c r="N3" s="153" t="s">
        <v>43</v>
      </c>
      <c r="O3" s="142"/>
      <c r="P3" s="142">
        <v>0</v>
      </c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 spans="1:32" s="6" customFormat="1" ht="15" thickBot="1">
      <c r="A4" s="101">
        <v>3</v>
      </c>
      <c r="B4" s="122"/>
      <c r="C4" s="145"/>
      <c r="D4" s="155"/>
      <c r="E4" s="119"/>
      <c r="F4" s="170"/>
      <c r="G4" s="174"/>
      <c r="H4" s="100"/>
      <c r="I4" s="34">
        <f t="shared" ref="I4:I14" si="1">((G4*H4)/100)*1.11</f>
        <v>0</v>
      </c>
      <c r="J4" s="34">
        <f t="shared" si="0"/>
        <v>0</v>
      </c>
      <c r="K4" s="152"/>
      <c r="L4" s="35"/>
      <c r="N4" s="153" t="s">
        <v>44</v>
      </c>
      <c r="O4" s="142"/>
      <c r="P4" s="142">
        <v>0</v>
      </c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 spans="1:32" s="6" customFormat="1" ht="15" thickBot="1">
      <c r="A5" s="101">
        <v>4</v>
      </c>
      <c r="B5" s="110"/>
      <c r="C5" s="145"/>
      <c r="D5" s="155"/>
      <c r="E5" s="119"/>
      <c r="F5" s="127"/>
      <c r="G5" s="139"/>
      <c r="H5" s="35"/>
      <c r="I5" s="34">
        <f t="shared" si="1"/>
        <v>0</v>
      </c>
      <c r="J5" s="34">
        <f t="shared" si="0"/>
        <v>0</v>
      </c>
      <c r="K5" s="152"/>
      <c r="L5" s="3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 spans="1:32" s="6" customFormat="1" ht="15" thickBot="1">
      <c r="A6" s="101">
        <v>5</v>
      </c>
      <c r="B6" s="110"/>
      <c r="C6" s="120"/>
      <c r="D6" s="118"/>
      <c r="E6" s="141"/>
      <c r="F6" s="127"/>
      <c r="G6" s="140"/>
      <c r="H6" s="35"/>
      <c r="I6" s="34">
        <f t="shared" si="1"/>
        <v>0</v>
      </c>
      <c r="J6" s="34">
        <f t="shared" si="0"/>
        <v>0</v>
      </c>
      <c r="K6" s="43"/>
      <c r="L6" s="35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 spans="1:32" s="6" customFormat="1" ht="15" thickBot="1">
      <c r="A7" s="101">
        <v>6</v>
      </c>
      <c r="B7" s="110"/>
      <c r="C7" s="145"/>
      <c r="D7" s="146"/>
      <c r="E7" s="147"/>
      <c r="F7" s="148"/>
      <c r="G7" s="149"/>
      <c r="H7" s="35"/>
      <c r="I7" s="34">
        <f t="shared" si="1"/>
        <v>0</v>
      </c>
      <c r="J7" s="34">
        <f t="shared" si="0"/>
        <v>0</v>
      </c>
      <c r="K7" s="152"/>
      <c r="L7" s="35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 spans="1:32" s="6" customFormat="1" ht="15" thickBot="1">
      <c r="A8" s="101">
        <v>7</v>
      </c>
      <c r="B8" s="110"/>
      <c r="C8" s="145"/>
      <c r="D8" s="150"/>
      <c r="E8" s="151"/>
      <c r="F8" s="148"/>
      <c r="G8" s="149"/>
      <c r="H8" s="35"/>
      <c r="I8" s="34">
        <f t="shared" si="1"/>
        <v>0</v>
      </c>
      <c r="J8" s="34">
        <f t="shared" si="0"/>
        <v>0</v>
      </c>
      <c r="K8" s="152"/>
      <c r="L8" s="35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 spans="1:32" s="6" customFormat="1" ht="15" thickBot="1">
      <c r="A9" s="101">
        <v>8</v>
      </c>
      <c r="B9" s="110"/>
      <c r="C9" s="145"/>
      <c r="D9" s="146"/>
      <c r="E9" s="147"/>
      <c r="F9" s="148"/>
      <c r="G9" s="149"/>
      <c r="H9" s="35"/>
      <c r="I9" s="34">
        <f t="shared" si="1"/>
        <v>0</v>
      </c>
      <c r="J9" s="34">
        <f t="shared" si="0"/>
        <v>0</v>
      </c>
      <c r="K9" s="152"/>
      <c r="L9" s="35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 spans="1:32" s="6" customFormat="1">
      <c r="A10" s="101">
        <v>9</v>
      </c>
      <c r="B10" s="110"/>
      <c r="C10" s="109"/>
      <c r="D10" s="107"/>
      <c r="E10" s="108"/>
      <c r="F10" s="111"/>
      <c r="G10" s="132"/>
      <c r="H10" s="35"/>
      <c r="I10" s="34">
        <f t="shared" si="1"/>
        <v>0</v>
      </c>
      <c r="J10" s="34">
        <f t="shared" ref="J10:J24" si="2">G10-I10</f>
        <v>0</v>
      </c>
      <c r="K10" s="43"/>
      <c r="L10" s="35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 spans="1:32" s="6" customFormat="1">
      <c r="A11" s="113">
        <v>10</v>
      </c>
      <c r="B11" s="113"/>
      <c r="C11" s="112"/>
      <c r="D11" s="114"/>
      <c r="E11" s="115"/>
      <c r="F11" s="104"/>
      <c r="G11" s="133"/>
      <c r="H11" s="112"/>
      <c r="I11" s="116">
        <f t="shared" si="1"/>
        <v>0</v>
      </c>
      <c r="J11" s="116">
        <f t="shared" si="2"/>
        <v>0</v>
      </c>
      <c r="K11" s="96"/>
      <c r="L11" s="35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 spans="1:32" s="6" customFormat="1">
      <c r="A12" s="32">
        <v>11</v>
      </c>
      <c r="B12" s="101"/>
      <c r="C12" s="35"/>
      <c r="D12" s="92"/>
      <c r="E12" s="39"/>
      <c r="F12" s="56"/>
      <c r="G12" s="134"/>
      <c r="H12" s="35"/>
      <c r="I12" s="34">
        <f t="shared" si="1"/>
        <v>0</v>
      </c>
      <c r="J12" s="34">
        <f t="shared" si="2"/>
        <v>0</v>
      </c>
      <c r="K12" s="35"/>
      <c r="L12" s="35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 spans="1:32" s="6" customFormat="1">
      <c r="A13" s="32">
        <v>12</v>
      </c>
      <c r="B13" s="101"/>
      <c r="C13" s="35"/>
      <c r="D13" s="71"/>
      <c r="E13" s="72"/>
      <c r="F13" s="86"/>
      <c r="G13" s="135"/>
      <c r="H13" s="35"/>
      <c r="I13" s="34">
        <f t="shared" si="1"/>
        <v>0</v>
      </c>
      <c r="J13" s="34">
        <f t="shared" si="2"/>
        <v>0</v>
      </c>
      <c r="K13" s="35"/>
      <c r="L13" s="35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 spans="1:32" s="6" customFormat="1">
      <c r="A14" s="32">
        <v>13</v>
      </c>
      <c r="B14" s="101"/>
      <c r="C14" s="35"/>
      <c r="D14" s="71"/>
      <c r="E14" s="72"/>
      <c r="F14" s="86"/>
      <c r="G14" s="135"/>
      <c r="H14" s="35"/>
      <c r="I14" s="34">
        <f t="shared" si="1"/>
        <v>0</v>
      </c>
      <c r="J14" s="34">
        <f t="shared" si="2"/>
        <v>0</v>
      </c>
      <c r="K14" s="35"/>
      <c r="L14" s="35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 spans="1:32" s="6" customFormat="1">
      <c r="A15" s="32">
        <v>14</v>
      </c>
      <c r="B15" s="101"/>
      <c r="C15" s="35"/>
      <c r="D15" s="71"/>
      <c r="E15" s="72"/>
      <c r="F15" s="86"/>
      <c r="G15" s="135"/>
      <c r="H15" s="35"/>
      <c r="I15" s="34">
        <f t="shared" ref="I15:I18" si="3">((G15*H15)/100)*1.11</f>
        <v>0</v>
      </c>
      <c r="J15" s="34">
        <f t="shared" si="2"/>
        <v>0</v>
      </c>
      <c r="K15" s="35"/>
      <c r="L15" s="3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 spans="1:32" s="6" customFormat="1">
      <c r="A16" s="32">
        <v>15</v>
      </c>
      <c r="B16" s="101"/>
      <c r="C16" s="35"/>
      <c r="D16" s="71"/>
      <c r="E16" s="72"/>
      <c r="F16" s="86"/>
      <c r="G16" s="135"/>
      <c r="H16" s="35"/>
      <c r="I16" s="34">
        <f t="shared" si="3"/>
        <v>0</v>
      </c>
      <c r="J16" s="34">
        <f t="shared" si="2"/>
        <v>0</v>
      </c>
      <c r="K16" s="35"/>
      <c r="L16" s="35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 spans="1:32" s="6" customFormat="1">
      <c r="A17" s="32">
        <v>17</v>
      </c>
      <c r="B17" s="101"/>
      <c r="C17" s="35"/>
      <c r="D17" s="71"/>
      <c r="E17" s="72"/>
      <c r="F17" s="86"/>
      <c r="G17" s="135"/>
      <c r="H17" s="35"/>
      <c r="I17" s="34">
        <f t="shared" si="3"/>
        <v>0</v>
      </c>
      <c r="J17" s="34">
        <f t="shared" si="2"/>
        <v>0</v>
      </c>
      <c r="K17" s="48"/>
      <c r="L17" s="35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 spans="1:32" s="6" customFormat="1">
      <c r="A18" s="32">
        <v>18</v>
      </c>
      <c r="B18" s="101"/>
      <c r="C18" s="35"/>
      <c r="D18" s="71"/>
      <c r="E18" s="72"/>
      <c r="F18" s="86"/>
      <c r="G18" s="135"/>
      <c r="H18" s="76"/>
      <c r="I18" s="34">
        <f t="shared" si="3"/>
        <v>0</v>
      </c>
      <c r="J18" s="34">
        <f t="shared" si="2"/>
        <v>0</v>
      </c>
      <c r="K18" s="48"/>
      <c r="L18" s="56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 spans="1:32" s="6" customFormat="1">
      <c r="A19" s="32">
        <v>19</v>
      </c>
      <c r="B19" s="101"/>
      <c r="C19" s="35"/>
      <c r="D19" s="71"/>
      <c r="E19" s="72"/>
      <c r="F19" s="86"/>
      <c r="G19" s="135"/>
      <c r="H19" s="35"/>
      <c r="I19" s="34">
        <f t="shared" ref="I19:I24" si="4">((G19*H19)/100)*1.11</f>
        <v>0</v>
      </c>
      <c r="J19" s="34">
        <f t="shared" si="2"/>
        <v>0</v>
      </c>
      <c r="K19" s="48"/>
      <c r="L19" s="35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 spans="1:32" s="6" customFormat="1">
      <c r="A20" s="32">
        <v>20</v>
      </c>
      <c r="B20" s="101"/>
      <c r="C20" s="35"/>
      <c r="D20" s="71"/>
      <c r="E20" s="72"/>
      <c r="F20" s="86"/>
      <c r="G20" s="135"/>
      <c r="H20" s="35"/>
      <c r="I20" s="34">
        <f t="shared" si="4"/>
        <v>0</v>
      </c>
      <c r="J20" s="34">
        <f t="shared" si="2"/>
        <v>0</v>
      </c>
      <c r="K20" s="48"/>
      <c r="L20" s="35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 spans="1:32" s="6" customFormat="1">
      <c r="A21" s="32">
        <v>21</v>
      </c>
      <c r="B21" s="101"/>
      <c r="C21" s="35"/>
      <c r="D21" s="71"/>
      <c r="E21" s="72"/>
      <c r="F21" s="86"/>
      <c r="G21" s="135"/>
      <c r="H21" s="35"/>
      <c r="I21" s="34">
        <f t="shared" si="4"/>
        <v>0</v>
      </c>
      <c r="J21" s="34">
        <f t="shared" si="2"/>
        <v>0</v>
      </c>
      <c r="K21" s="48"/>
      <c r="L21" s="35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 spans="1:32" s="6" customFormat="1">
      <c r="A22" s="32">
        <v>22</v>
      </c>
      <c r="B22" s="101"/>
      <c r="C22" s="35"/>
      <c r="D22" s="71"/>
      <c r="E22" s="72"/>
      <c r="F22" s="86"/>
      <c r="G22" s="135"/>
      <c r="H22" s="35"/>
      <c r="I22" s="34">
        <f t="shared" si="4"/>
        <v>0</v>
      </c>
      <c r="J22" s="34">
        <f t="shared" si="2"/>
        <v>0</v>
      </c>
      <c r="K22" s="48"/>
      <c r="L22" s="35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 spans="1:32" s="6" customFormat="1">
      <c r="A23" s="32">
        <v>23</v>
      </c>
      <c r="B23" s="101"/>
      <c r="C23" s="35"/>
      <c r="D23" s="71"/>
      <c r="E23" s="72"/>
      <c r="F23" s="86"/>
      <c r="G23" s="135"/>
      <c r="H23" s="35"/>
      <c r="I23" s="34">
        <f t="shared" si="4"/>
        <v>0</v>
      </c>
      <c r="J23" s="34">
        <f t="shared" si="2"/>
        <v>0</v>
      </c>
      <c r="K23" s="48"/>
      <c r="L23" s="35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 spans="1:32" s="6" customFormat="1">
      <c r="A24" s="32">
        <v>24</v>
      </c>
      <c r="B24" s="101"/>
      <c r="C24" s="35"/>
      <c r="D24" s="71"/>
      <c r="E24" s="72"/>
      <c r="F24" s="86"/>
      <c r="G24" s="135"/>
      <c r="H24" s="35"/>
      <c r="I24" s="34">
        <f t="shared" si="4"/>
        <v>0</v>
      </c>
      <c r="J24" s="34">
        <f t="shared" si="2"/>
        <v>0</v>
      </c>
      <c r="K24" s="48"/>
      <c r="L24" s="35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 spans="1:32" s="6" customFormat="1">
      <c r="A25" s="32">
        <v>25</v>
      </c>
      <c r="B25" s="101"/>
      <c r="C25" s="35"/>
      <c r="D25" s="71"/>
      <c r="E25" s="72"/>
      <c r="F25" s="86"/>
      <c r="G25" s="135"/>
      <c r="H25" s="35"/>
      <c r="I25" s="34">
        <f t="shared" ref="I25:I30" si="5">((G25*H25)/100)*1.11</f>
        <v>0</v>
      </c>
      <c r="J25" s="34">
        <f t="shared" ref="J25:J72" si="6">G25-I25</f>
        <v>0</v>
      </c>
      <c r="K25" s="48"/>
      <c r="L25" s="3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 spans="1:32" s="6" customFormat="1">
      <c r="A26" s="32">
        <v>26</v>
      </c>
      <c r="B26" s="101"/>
      <c r="C26" s="35"/>
      <c r="D26" s="71"/>
      <c r="E26" s="72"/>
      <c r="F26" s="86"/>
      <c r="G26" s="135"/>
      <c r="H26" s="35"/>
      <c r="I26" s="34">
        <f t="shared" si="5"/>
        <v>0</v>
      </c>
      <c r="J26" s="34">
        <f t="shared" si="6"/>
        <v>0</v>
      </c>
      <c r="K26" s="48"/>
      <c r="L26" s="35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 spans="1:32" s="6" customFormat="1">
      <c r="A27" s="32">
        <v>27</v>
      </c>
      <c r="B27" s="101"/>
      <c r="C27" s="35"/>
      <c r="D27" s="71"/>
      <c r="E27" s="72"/>
      <c r="F27" s="86"/>
      <c r="G27" s="135"/>
      <c r="H27" s="35"/>
      <c r="I27" s="34">
        <f t="shared" si="5"/>
        <v>0</v>
      </c>
      <c r="J27" s="34">
        <f t="shared" si="6"/>
        <v>0</v>
      </c>
      <c r="K27" s="48"/>
      <c r="L27" s="35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 spans="1:32" s="6" customFormat="1">
      <c r="A28" s="32">
        <v>28</v>
      </c>
      <c r="B28" s="101"/>
      <c r="C28" s="35"/>
      <c r="D28" s="71"/>
      <c r="E28" s="75"/>
      <c r="F28" s="86"/>
      <c r="G28" s="135"/>
      <c r="H28" s="74"/>
      <c r="I28" s="34">
        <f t="shared" si="5"/>
        <v>0</v>
      </c>
      <c r="J28" s="34">
        <f t="shared" si="6"/>
        <v>0</v>
      </c>
      <c r="K28" s="48"/>
      <c r="L28" s="35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 spans="1:32" s="6" customFormat="1">
      <c r="A29" s="32">
        <v>29</v>
      </c>
      <c r="B29" s="101"/>
      <c r="C29" s="35"/>
      <c r="D29" s="71"/>
      <c r="E29" s="75"/>
      <c r="F29" s="86"/>
      <c r="G29" s="135"/>
      <c r="H29" s="35"/>
      <c r="I29" s="34">
        <f t="shared" si="5"/>
        <v>0</v>
      </c>
      <c r="J29" s="34">
        <f t="shared" si="6"/>
        <v>0</v>
      </c>
      <c r="K29" s="48"/>
      <c r="L29" s="35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 spans="1:32" s="6" customFormat="1">
      <c r="A30" s="32">
        <v>30</v>
      </c>
      <c r="B30" s="101"/>
      <c r="C30" s="35"/>
      <c r="D30" s="71"/>
      <c r="E30" s="36"/>
      <c r="F30" s="86"/>
      <c r="G30" s="135"/>
      <c r="H30" s="35"/>
      <c r="I30" s="34">
        <f t="shared" si="5"/>
        <v>0</v>
      </c>
      <c r="J30" s="34">
        <f t="shared" si="6"/>
        <v>0</v>
      </c>
      <c r="K30" s="48"/>
      <c r="L30" s="35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 spans="1:32" s="6" customFormat="1">
      <c r="A31" s="32">
        <v>31</v>
      </c>
      <c r="B31" s="101"/>
      <c r="C31" s="35"/>
      <c r="D31" s="71"/>
      <c r="E31" s="36"/>
      <c r="F31" s="86"/>
      <c r="G31" s="135"/>
      <c r="H31" s="35"/>
      <c r="I31" s="34">
        <f t="shared" ref="I31:I72" si="7">((G31*H31)/100)*1.11</f>
        <v>0</v>
      </c>
      <c r="J31" s="34">
        <f t="shared" si="6"/>
        <v>0</v>
      </c>
      <c r="K31" s="48"/>
      <c r="L31" s="35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 spans="1:32" s="6" customFormat="1">
      <c r="A32" s="32">
        <v>32</v>
      </c>
      <c r="B32" s="101"/>
      <c r="C32" s="35"/>
      <c r="D32" s="71"/>
      <c r="E32" s="36"/>
      <c r="F32" s="71"/>
      <c r="G32" s="135"/>
      <c r="H32" s="35"/>
      <c r="I32" s="34">
        <f t="shared" si="7"/>
        <v>0</v>
      </c>
      <c r="J32" s="34">
        <f t="shared" si="6"/>
        <v>0</v>
      </c>
      <c r="K32" s="35"/>
      <c r="L32" s="35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 spans="1:32" s="6" customFormat="1">
      <c r="A33" s="32">
        <v>33</v>
      </c>
      <c r="B33" s="101"/>
      <c r="C33" s="35"/>
      <c r="D33" s="71"/>
      <c r="E33" s="36"/>
      <c r="F33" s="71"/>
      <c r="G33" s="135"/>
      <c r="H33" s="35"/>
      <c r="I33" s="34">
        <f t="shared" si="7"/>
        <v>0</v>
      </c>
      <c r="J33" s="34">
        <f t="shared" si="6"/>
        <v>0</v>
      </c>
      <c r="K33" s="43"/>
      <c r="L33" s="35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 spans="1:32" s="6" customFormat="1">
      <c r="A34" s="32">
        <v>34</v>
      </c>
      <c r="B34" s="101"/>
      <c r="C34" s="35"/>
      <c r="D34" s="71"/>
      <c r="E34" s="36"/>
      <c r="F34" s="71"/>
      <c r="G34" s="135"/>
      <c r="H34" s="35"/>
      <c r="I34" s="34">
        <f t="shared" si="7"/>
        <v>0</v>
      </c>
      <c r="J34" s="34">
        <f t="shared" si="6"/>
        <v>0</v>
      </c>
      <c r="K34" s="48"/>
      <c r="L34" s="35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 spans="1:32" s="6" customFormat="1">
      <c r="A35" s="32">
        <v>35</v>
      </c>
      <c r="B35" s="101"/>
      <c r="C35" s="35"/>
      <c r="D35" s="71"/>
      <c r="E35" s="36"/>
      <c r="F35" s="71"/>
      <c r="G35" s="135"/>
      <c r="H35" s="35"/>
      <c r="I35" s="34">
        <f t="shared" si="7"/>
        <v>0</v>
      </c>
      <c r="J35" s="34">
        <f t="shared" si="6"/>
        <v>0</v>
      </c>
      <c r="K35" s="43"/>
      <c r="L35" s="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 spans="1:32" s="6" customFormat="1">
      <c r="A36" s="32">
        <v>36</v>
      </c>
      <c r="B36" s="101"/>
      <c r="C36" s="35"/>
      <c r="D36" s="71"/>
      <c r="E36" s="36"/>
      <c r="F36" s="71"/>
      <c r="G36" s="135"/>
      <c r="H36" s="35"/>
      <c r="I36" s="34">
        <f t="shared" si="7"/>
        <v>0</v>
      </c>
      <c r="J36" s="34">
        <f t="shared" si="6"/>
        <v>0</v>
      </c>
      <c r="K36" s="35"/>
      <c r="L36" s="35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 spans="1:32" s="6" customFormat="1">
      <c r="A37" s="32">
        <v>37</v>
      </c>
      <c r="B37" s="101"/>
      <c r="C37" s="35"/>
      <c r="D37" s="71"/>
      <c r="E37" s="36"/>
      <c r="F37" s="71"/>
      <c r="G37" s="135"/>
      <c r="H37" s="35"/>
      <c r="I37" s="34">
        <f t="shared" si="7"/>
        <v>0</v>
      </c>
      <c r="J37" s="34">
        <f t="shared" si="6"/>
        <v>0</v>
      </c>
      <c r="K37" s="35"/>
      <c r="L37" s="33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 spans="1:32" s="6" customFormat="1">
      <c r="A38" s="32">
        <v>38</v>
      </c>
      <c r="B38" s="101"/>
      <c r="C38" s="35"/>
      <c r="D38" s="71"/>
      <c r="E38" s="36"/>
      <c r="F38" s="71"/>
      <c r="G38" s="135"/>
      <c r="H38" s="35"/>
      <c r="I38" s="34">
        <f t="shared" si="7"/>
        <v>0</v>
      </c>
      <c r="J38" s="34">
        <f t="shared" si="6"/>
        <v>0</v>
      </c>
      <c r="K38" s="35"/>
      <c r="L38" s="33"/>
      <c r="O38"/>
      <c r="P38"/>
    </row>
    <row r="39" spans="1:32" s="6" customFormat="1">
      <c r="A39" s="32">
        <v>39</v>
      </c>
      <c r="B39" s="101"/>
      <c r="C39" s="35"/>
      <c r="D39" s="71"/>
      <c r="E39" s="36"/>
      <c r="F39" s="71"/>
      <c r="G39" s="135"/>
      <c r="H39" s="78"/>
      <c r="I39" s="34">
        <f t="shared" si="7"/>
        <v>0</v>
      </c>
      <c r="J39" s="34">
        <f t="shared" si="6"/>
        <v>0</v>
      </c>
      <c r="K39" s="48"/>
      <c r="L39" s="42"/>
      <c r="O39"/>
      <c r="P39"/>
    </row>
    <row r="40" spans="1:32" s="6" customFormat="1">
      <c r="A40" s="32">
        <v>40</v>
      </c>
      <c r="B40" s="101"/>
      <c r="C40" s="35"/>
      <c r="D40" s="71"/>
      <c r="E40" s="36"/>
      <c r="F40" s="71"/>
      <c r="G40" s="135"/>
      <c r="H40" s="78"/>
      <c r="I40" s="34">
        <f t="shared" si="7"/>
        <v>0</v>
      </c>
      <c r="J40" s="34">
        <f t="shared" si="6"/>
        <v>0</v>
      </c>
      <c r="K40" s="35"/>
      <c r="L40" s="42"/>
      <c r="O40"/>
      <c r="P40"/>
    </row>
    <row r="41" spans="1:32" s="6" customFormat="1">
      <c r="A41" s="32">
        <v>41</v>
      </c>
      <c r="B41" s="101"/>
      <c r="C41" s="35"/>
      <c r="D41" s="71"/>
      <c r="E41" s="36"/>
      <c r="F41" s="71"/>
      <c r="G41" s="135"/>
      <c r="H41" s="78"/>
      <c r="I41" s="34">
        <f t="shared" si="7"/>
        <v>0</v>
      </c>
      <c r="J41" s="34">
        <f t="shared" si="6"/>
        <v>0</v>
      </c>
      <c r="K41" s="43"/>
      <c r="L41" s="42"/>
      <c r="O41"/>
      <c r="P41"/>
    </row>
    <row r="42" spans="1:32">
      <c r="A42" s="32">
        <v>42</v>
      </c>
      <c r="B42" s="101"/>
      <c r="C42" s="35"/>
      <c r="D42" s="71"/>
      <c r="E42" s="77"/>
      <c r="F42" s="71"/>
      <c r="G42" s="135"/>
      <c r="H42" s="76"/>
      <c r="I42" s="34">
        <f t="shared" si="7"/>
        <v>0</v>
      </c>
      <c r="J42" s="34">
        <f t="shared" si="6"/>
        <v>0</v>
      </c>
      <c r="K42" s="35"/>
      <c r="L42" s="76"/>
    </row>
    <row r="43" spans="1:32">
      <c r="A43" s="32">
        <v>43</v>
      </c>
      <c r="B43" s="101"/>
      <c r="C43" s="35"/>
      <c r="D43" s="71"/>
      <c r="E43" s="77"/>
      <c r="F43" s="71"/>
      <c r="G43" s="135"/>
      <c r="H43" s="35"/>
      <c r="I43" s="34">
        <f>((G43*H43)/100)*1.11</f>
        <v>0</v>
      </c>
      <c r="J43" s="34">
        <f t="shared" si="6"/>
        <v>0</v>
      </c>
      <c r="K43" s="48"/>
      <c r="L43" s="76"/>
    </row>
    <row r="44" spans="1:32">
      <c r="A44" s="32">
        <v>45</v>
      </c>
      <c r="B44" s="101"/>
      <c r="C44" s="35"/>
      <c r="D44" s="71"/>
      <c r="E44" s="77"/>
      <c r="F44" s="71"/>
      <c r="G44" s="135"/>
      <c r="H44" s="76"/>
      <c r="I44" s="34">
        <f t="shared" si="7"/>
        <v>0</v>
      </c>
      <c r="J44" s="34">
        <f t="shared" si="6"/>
        <v>0</v>
      </c>
      <c r="K44" s="35"/>
      <c r="L44" s="76"/>
    </row>
    <row r="45" spans="1:32">
      <c r="A45" s="32">
        <v>46</v>
      </c>
      <c r="B45" s="101"/>
      <c r="C45" s="35"/>
      <c r="D45" s="71"/>
      <c r="E45" s="77"/>
      <c r="F45" s="71"/>
      <c r="G45" s="135"/>
      <c r="H45" s="76"/>
      <c r="I45" s="34">
        <f t="shared" si="7"/>
        <v>0</v>
      </c>
      <c r="J45" s="34">
        <f t="shared" si="6"/>
        <v>0</v>
      </c>
      <c r="K45" s="35"/>
      <c r="L45" s="76"/>
    </row>
    <row r="46" spans="1:32">
      <c r="A46" s="32">
        <v>47</v>
      </c>
      <c r="B46" s="101"/>
      <c r="C46" s="35"/>
      <c r="D46" s="71"/>
      <c r="E46" s="77"/>
      <c r="F46" s="71"/>
      <c r="G46" s="135"/>
      <c r="H46" s="76"/>
      <c r="I46" s="34">
        <f t="shared" si="7"/>
        <v>0</v>
      </c>
      <c r="J46" s="34">
        <f t="shared" si="6"/>
        <v>0</v>
      </c>
      <c r="K46" s="35"/>
      <c r="L46" s="76"/>
    </row>
    <row r="47" spans="1:32">
      <c r="A47" s="32">
        <v>48</v>
      </c>
      <c r="B47" s="101"/>
      <c r="C47" s="35"/>
      <c r="D47" s="71"/>
      <c r="E47" s="77"/>
      <c r="F47" s="71"/>
      <c r="G47" s="135"/>
      <c r="H47" s="76"/>
      <c r="I47" s="34">
        <f t="shared" si="7"/>
        <v>0</v>
      </c>
      <c r="J47" s="34">
        <f t="shared" si="6"/>
        <v>0</v>
      </c>
      <c r="K47" s="35"/>
      <c r="L47" s="76"/>
    </row>
    <row r="48" spans="1:32">
      <c r="A48" s="32">
        <v>49</v>
      </c>
      <c r="B48" s="101"/>
      <c r="C48" s="35"/>
      <c r="D48" s="71"/>
      <c r="E48" s="77"/>
      <c r="F48" s="71"/>
      <c r="G48" s="135"/>
      <c r="H48" s="76"/>
      <c r="I48" s="34">
        <f t="shared" si="7"/>
        <v>0</v>
      </c>
      <c r="J48" s="34">
        <f t="shared" si="6"/>
        <v>0</v>
      </c>
      <c r="K48" s="48"/>
      <c r="L48" s="76"/>
    </row>
    <row r="49" spans="1:16">
      <c r="A49" s="32">
        <v>50</v>
      </c>
      <c r="B49" s="101"/>
      <c r="C49" s="35"/>
      <c r="D49" s="71"/>
      <c r="E49" s="77"/>
      <c r="F49" s="71"/>
      <c r="G49" s="135"/>
      <c r="H49" s="76"/>
      <c r="I49" s="34">
        <f t="shared" si="7"/>
        <v>0</v>
      </c>
      <c r="J49" s="34">
        <f t="shared" si="6"/>
        <v>0</v>
      </c>
      <c r="K49" s="48"/>
      <c r="L49" s="76"/>
    </row>
    <row r="50" spans="1:16" s="6" customFormat="1">
      <c r="A50" s="32">
        <v>51</v>
      </c>
      <c r="B50" s="101"/>
      <c r="C50" s="35"/>
      <c r="D50" s="71"/>
      <c r="E50" s="79"/>
      <c r="F50" s="71"/>
      <c r="G50" s="135"/>
      <c r="H50" s="78"/>
      <c r="I50" s="34">
        <f t="shared" si="7"/>
        <v>0</v>
      </c>
      <c r="J50" s="34">
        <f t="shared" si="6"/>
        <v>0</v>
      </c>
      <c r="K50" s="48"/>
      <c r="L50" s="78"/>
      <c r="O50"/>
      <c r="P50"/>
    </row>
    <row r="51" spans="1:16" s="6" customFormat="1">
      <c r="A51" s="32">
        <v>52</v>
      </c>
      <c r="B51" s="101"/>
      <c r="C51" s="35"/>
      <c r="D51" s="71"/>
      <c r="E51" s="79"/>
      <c r="F51" s="71"/>
      <c r="G51" s="135"/>
      <c r="H51" s="78"/>
      <c r="I51" s="34">
        <f t="shared" si="7"/>
        <v>0</v>
      </c>
      <c r="J51" s="34">
        <f t="shared" si="6"/>
        <v>0</v>
      </c>
      <c r="K51" s="78"/>
      <c r="L51" s="78"/>
      <c r="O51"/>
      <c r="P51"/>
    </row>
    <row r="52" spans="1:16" s="6" customFormat="1">
      <c r="A52" s="32">
        <v>53</v>
      </c>
      <c r="B52" s="101"/>
      <c r="C52" s="35"/>
      <c r="D52" s="71"/>
      <c r="E52" s="79"/>
      <c r="F52" s="71"/>
      <c r="G52" s="135"/>
      <c r="H52" s="78"/>
      <c r="I52" s="34">
        <f t="shared" si="7"/>
        <v>0</v>
      </c>
      <c r="J52" s="34">
        <f t="shared" si="6"/>
        <v>0</v>
      </c>
      <c r="K52" s="78"/>
      <c r="L52" s="78"/>
      <c r="O52"/>
      <c r="P52"/>
    </row>
    <row r="53" spans="1:16" s="6" customFormat="1">
      <c r="A53" s="32">
        <v>54</v>
      </c>
      <c r="B53" s="101"/>
      <c r="C53" s="35"/>
      <c r="D53" s="71"/>
      <c r="E53" s="79"/>
      <c r="F53" s="71"/>
      <c r="G53" s="135"/>
      <c r="H53" s="78"/>
      <c r="I53" s="34">
        <f t="shared" si="7"/>
        <v>0</v>
      </c>
      <c r="J53" s="34">
        <f t="shared" si="6"/>
        <v>0</v>
      </c>
      <c r="K53" s="48"/>
      <c r="L53" s="78"/>
      <c r="O53"/>
      <c r="P53"/>
    </row>
    <row r="54" spans="1:16" s="6" customFormat="1">
      <c r="A54" s="32">
        <v>55</v>
      </c>
      <c r="B54" s="101"/>
      <c r="C54" s="35"/>
      <c r="D54" s="71"/>
      <c r="E54" s="79"/>
      <c r="F54" s="71"/>
      <c r="G54" s="135"/>
      <c r="H54" s="78"/>
      <c r="I54" s="34">
        <f t="shared" si="7"/>
        <v>0</v>
      </c>
      <c r="J54" s="34">
        <f t="shared" si="6"/>
        <v>0</v>
      </c>
      <c r="K54" s="78"/>
      <c r="L54" s="78"/>
      <c r="O54"/>
      <c r="P54"/>
    </row>
    <row r="55" spans="1:16" s="6" customFormat="1">
      <c r="A55" s="32">
        <v>56</v>
      </c>
      <c r="B55" s="101"/>
      <c r="C55" s="35"/>
      <c r="D55" s="71"/>
      <c r="E55" s="79"/>
      <c r="F55" s="71"/>
      <c r="G55" s="135"/>
      <c r="H55" s="78"/>
      <c r="I55" s="34">
        <f t="shared" si="7"/>
        <v>0</v>
      </c>
      <c r="J55" s="34">
        <f t="shared" si="6"/>
        <v>0</v>
      </c>
      <c r="K55" s="78"/>
      <c r="L55" s="78"/>
      <c r="O55"/>
      <c r="P55"/>
    </row>
    <row r="56" spans="1:16" s="6" customFormat="1">
      <c r="A56" s="32">
        <v>57</v>
      </c>
      <c r="B56" s="101"/>
      <c r="C56" s="35"/>
      <c r="D56" s="71"/>
      <c r="E56" s="79"/>
      <c r="F56" s="71"/>
      <c r="G56" s="135"/>
      <c r="H56" s="78"/>
      <c r="I56" s="34">
        <f t="shared" si="7"/>
        <v>0</v>
      </c>
      <c r="J56" s="34">
        <f t="shared" si="6"/>
        <v>0</v>
      </c>
      <c r="K56" s="37"/>
      <c r="L56" s="78"/>
      <c r="O56"/>
      <c r="P56"/>
    </row>
    <row r="57" spans="1:16" s="6" customFormat="1">
      <c r="A57" s="32">
        <v>58</v>
      </c>
      <c r="B57" s="101"/>
      <c r="C57" s="35"/>
      <c r="D57" s="71"/>
      <c r="E57" s="79"/>
      <c r="F57" s="71"/>
      <c r="G57" s="135"/>
      <c r="H57" s="78"/>
      <c r="I57" s="34">
        <f t="shared" si="7"/>
        <v>0</v>
      </c>
      <c r="J57" s="34">
        <f t="shared" si="6"/>
        <v>0</v>
      </c>
      <c r="K57" s="37"/>
      <c r="L57" s="78"/>
      <c r="O57"/>
      <c r="P57"/>
    </row>
    <row r="58" spans="1:16" s="6" customFormat="1">
      <c r="A58" s="32">
        <v>59</v>
      </c>
      <c r="B58" s="101"/>
      <c r="C58" s="35"/>
      <c r="D58" s="71"/>
      <c r="E58" s="79"/>
      <c r="F58" s="71"/>
      <c r="G58" s="135"/>
      <c r="H58" s="78"/>
      <c r="I58" s="34">
        <f t="shared" si="7"/>
        <v>0</v>
      </c>
      <c r="J58" s="34">
        <f t="shared" si="6"/>
        <v>0</v>
      </c>
      <c r="K58" s="78"/>
      <c r="L58" s="78"/>
      <c r="O58"/>
      <c r="P58"/>
    </row>
    <row r="59" spans="1:16" s="6" customFormat="1">
      <c r="A59" s="32">
        <v>60</v>
      </c>
      <c r="B59" s="101"/>
      <c r="C59" s="35"/>
      <c r="D59" s="71"/>
      <c r="E59" s="79"/>
      <c r="F59" s="71"/>
      <c r="G59" s="135"/>
      <c r="H59" s="78"/>
      <c r="I59" s="34">
        <f t="shared" si="7"/>
        <v>0</v>
      </c>
      <c r="J59" s="34">
        <f t="shared" si="6"/>
        <v>0</v>
      </c>
      <c r="K59" s="37"/>
      <c r="L59" s="78"/>
      <c r="O59"/>
      <c r="P59"/>
    </row>
    <row r="60" spans="1:16" s="6" customFormat="1">
      <c r="A60" s="32">
        <v>61</v>
      </c>
      <c r="B60" s="101"/>
      <c r="C60" s="35"/>
      <c r="D60" s="71"/>
      <c r="E60" s="79"/>
      <c r="F60" s="71"/>
      <c r="G60" s="135"/>
      <c r="H60" s="78"/>
      <c r="I60" s="34">
        <f t="shared" si="7"/>
        <v>0</v>
      </c>
      <c r="J60" s="34">
        <f t="shared" si="6"/>
        <v>0</v>
      </c>
      <c r="K60" s="78"/>
      <c r="L60" s="78"/>
      <c r="O60"/>
      <c r="P60"/>
    </row>
    <row r="61" spans="1:16" s="6" customFormat="1">
      <c r="A61" s="32">
        <v>62</v>
      </c>
      <c r="B61" s="101"/>
      <c r="C61" s="35"/>
      <c r="D61" s="71"/>
      <c r="E61" s="79"/>
      <c r="F61" s="71"/>
      <c r="G61" s="135"/>
      <c r="H61" s="78"/>
      <c r="I61" s="34">
        <f t="shared" si="7"/>
        <v>0</v>
      </c>
      <c r="J61" s="34">
        <f t="shared" si="6"/>
        <v>0</v>
      </c>
      <c r="K61" s="76"/>
      <c r="L61" s="78"/>
      <c r="O61"/>
      <c r="P61"/>
    </row>
    <row r="62" spans="1:16" s="6" customFormat="1">
      <c r="A62" s="32">
        <v>63</v>
      </c>
      <c r="B62" s="101"/>
      <c r="C62" s="35"/>
      <c r="D62" s="71"/>
      <c r="E62" s="79"/>
      <c r="F62" s="71"/>
      <c r="G62" s="135"/>
      <c r="H62" s="78"/>
      <c r="I62" s="34">
        <f t="shared" si="7"/>
        <v>0</v>
      </c>
      <c r="J62" s="34">
        <f t="shared" si="6"/>
        <v>0</v>
      </c>
      <c r="K62" s="35"/>
      <c r="L62" s="78"/>
    </row>
    <row r="63" spans="1:16" s="6" customFormat="1">
      <c r="A63" s="32">
        <v>64</v>
      </c>
      <c r="B63" s="101"/>
      <c r="C63" s="35"/>
      <c r="D63" s="71"/>
      <c r="E63" s="79"/>
      <c r="F63" s="71"/>
      <c r="G63" s="135"/>
      <c r="H63" s="78"/>
      <c r="I63" s="34">
        <f t="shared" si="7"/>
        <v>0</v>
      </c>
      <c r="J63" s="34">
        <f t="shared" si="6"/>
        <v>0</v>
      </c>
      <c r="K63" s="78"/>
      <c r="L63" s="78"/>
    </row>
    <row r="64" spans="1:16" s="6" customFormat="1">
      <c r="A64" s="32">
        <v>65</v>
      </c>
      <c r="B64" s="101"/>
      <c r="C64" s="35"/>
      <c r="D64" s="71"/>
      <c r="E64" s="79"/>
      <c r="F64" s="71"/>
      <c r="G64" s="135"/>
      <c r="H64" s="78"/>
      <c r="I64" s="34">
        <f t="shared" si="7"/>
        <v>0</v>
      </c>
      <c r="J64" s="34">
        <f t="shared" si="6"/>
        <v>0</v>
      </c>
      <c r="K64" s="78"/>
      <c r="L64" s="78"/>
    </row>
    <row r="65" spans="1:12" s="6" customFormat="1">
      <c r="A65" s="32">
        <v>66</v>
      </c>
      <c r="B65" s="101"/>
      <c r="C65" s="35"/>
      <c r="D65" s="71"/>
      <c r="E65" s="79"/>
      <c r="F65" s="71"/>
      <c r="G65" s="135"/>
      <c r="H65" s="78"/>
      <c r="I65" s="34">
        <f t="shared" si="7"/>
        <v>0</v>
      </c>
      <c r="J65" s="34">
        <f t="shared" si="6"/>
        <v>0</v>
      </c>
      <c r="K65" s="35"/>
      <c r="L65" s="78"/>
    </row>
    <row r="66" spans="1:12" s="6" customFormat="1">
      <c r="A66" s="32">
        <v>67</v>
      </c>
      <c r="B66" s="101"/>
      <c r="C66" s="78"/>
      <c r="D66" s="71"/>
      <c r="E66" s="79"/>
      <c r="F66" s="71"/>
      <c r="G66" s="135"/>
      <c r="H66" s="78"/>
      <c r="I66" s="34">
        <f t="shared" si="7"/>
        <v>0</v>
      </c>
      <c r="J66" s="34">
        <f t="shared" si="6"/>
        <v>0</v>
      </c>
      <c r="K66" s="78"/>
      <c r="L66" s="78"/>
    </row>
    <row r="67" spans="1:12" s="6" customFormat="1">
      <c r="A67" s="32">
        <v>68</v>
      </c>
      <c r="B67" s="101"/>
      <c r="C67" s="78"/>
      <c r="D67" s="71"/>
      <c r="E67" s="79"/>
      <c r="F67" s="71"/>
      <c r="G67" s="135"/>
      <c r="H67" s="78"/>
      <c r="I67" s="34">
        <f t="shared" si="7"/>
        <v>0</v>
      </c>
      <c r="J67" s="34">
        <f t="shared" si="6"/>
        <v>0</v>
      </c>
      <c r="K67" s="76"/>
      <c r="L67" s="78"/>
    </row>
    <row r="68" spans="1:12" s="6" customFormat="1">
      <c r="A68" s="32">
        <v>69</v>
      </c>
      <c r="B68" s="101"/>
      <c r="C68" s="78"/>
      <c r="D68" s="71"/>
      <c r="E68" s="79"/>
      <c r="F68" s="71"/>
      <c r="G68" s="135"/>
      <c r="H68" s="78"/>
      <c r="I68" s="34">
        <f t="shared" si="7"/>
        <v>0</v>
      </c>
      <c r="J68" s="34">
        <f t="shared" si="6"/>
        <v>0</v>
      </c>
      <c r="K68" s="76"/>
      <c r="L68" s="78"/>
    </row>
    <row r="69" spans="1:12" s="6" customFormat="1">
      <c r="A69" s="4"/>
      <c r="B69" s="102"/>
      <c r="C69" s="78"/>
      <c r="D69" s="71"/>
      <c r="E69" s="79"/>
      <c r="F69" s="71"/>
      <c r="G69" s="135"/>
      <c r="H69" s="78"/>
      <c r="I69" s="34">
        <f t="shared" si="7"/>
        <v>0</v>
      </c>
      <c r="J69" s="34">
        <f t="shared" si="6"/>
        <v>0</v>
      </c>
      <c r="K69" s="76"/>
      <c r="L69" s="78"/>
    </row>
    <row r="70" spans="1:12" s="6" customFormat="1">
      <c r="A70" s="4"/>
      <c r="B70" s="102"/>
      <c r="C70" s="78"/>
      <c r="D70" s="71"/>
      <c r="E70" s="79"/>
      <c r="F70" s="71"/>
      <c r="G70" s="135"/>
      <c r="H70" s="78"/>
      <c r="I70" s="34">
        <f t="shared" si="7"/>
        <v>0</v>
      </c>
      <c r="J70" s="34">
        <f t="shared" si="6"/>
        <v>0</v>
      </c>
      <c r="K70" s="78"/>
      <c r="L70" s="78"/>
    </row>
    <row r="71" spans="1:12" s="6" customFormat="1">
      <c r="A71" s="4"/>
      <c r="B71" s="102"/>
      <c r="C71" s="78"/>
      <c r="D71" s="71"/>
      <c r="E71" s="79"/>
      <c r="F71" s="71"/>
      <c r="G71" s="135"/>
      <c r="H71" s="78"/>
      <c r="I71" s="34">
        <f t="shared" si="7"/>
        <v>0</v>
      </c>
      <c r="J71" s="34">
        <f t="shared" si="6"/>
        <v>0</v>
      </c>
      <c r="K71" s="76"/>
      <c r="L71" s="78"/>
    </row>
    <row r="72" spans="1:12" s="6" customFormat="1">
      <c r="A72" s="4"/>
      <c r="B72" s="102"/>
      <c r="C72" s="76"/>
      <c r="D72" s="82"/>
      <c r="E72" s="83"/>
      <c r="F72" s="84"/>
      <c r="G72" s="136"/>
      <c r="H72" s="76"/>
      <c r="I72" s="34">
        <f t="shared" si="7"/>
        <v>0</v>
      </c>
      <c r="J72" s="34">
        <f t="shared" si="6"/>
        <v>0</v>
      </c>
      <c r="K72" s="5"/>
      <c r="L72" s="5"/>
    </row>
    <row r="73" spans="1:12" s="6" customFormat="1">
      <c r="A73" s="4"/>
      <c r="B73" s="102"/>
      <c r="C73" s="5"/>
      <c r="D73" s="1"/>
      <c r="E73" s="11"/>
      <c r="F73" s="1"/>
      <c r="G73" s="137"/>
      <c r="H73" s="5"/>
      <c r="I73" s="8"/>
      <c r="J73" s="8"/>
      <c r="K73" s="5"/>
      <c r="L73" s="5"/>
    </row>
    <row r="74" spans="1:12" s="6" customFormat="1">
      <c r="A74" s="4"/>
      <c r="B74" s="102"/>
      <c r="C74" s="5"/>
      <c r="D74" s="1"/>
      <c r="E74" s="11"/>
      <c r="F74" s="1"/>
      <c r="G74" s="137"/>
      <c r="H74" s="5"/>
      <c r="I74" s="8"/>
      <c r="J74" s="8"/>
      <c r="K74" s="5"/>
      <c r="L74" s="5"/>
    </row>
    <row r="75" spans="1:12" s="6" customFormat="1">
      <c r="A75" s="4"/>
      <c r="B75" s="102"/>
      <c r="C75" s="5"/>
      <c r="D75" s="1"/>
      <c r="E75" s="11"/>
      <c r="F75" s="1"/>
      <c r="G75" s="137"/>
      <c r="H75" s="5"/>
      <c r="I75" s="8"/>
      <c r="J75" s="8"/>
      <c r="K75" s="5"/>
      <c r="L75" s="5"/>
    </row>
    <row r="76" spans="1:12" s="6" customFormat="1">
      <c r="A76" s="4"/>
      <c r="B76" s="102"/>
      <c r="C76" s="5"/>
      <c r="D76" s="1"/>
      <c r="E76" s="11"/>
      <c r="F76" s="1"/>
      <c r="G76" s="137"/>
      <c r="H76" s="5"/>
      <c r="I76" s="8"/>
      <c r="J76" s="8"/>
      <c r="K76" s="5"/>
      <c r="L76" s="5"/>
    </row>
    <row r="77" spans="1:12" s="6" customFormat="1">
      <c r="A77" s="4"/>
      <c r="B77" s="102"/>
      <c r="C77" s="5"/>
      <c r="D77" s="1"/>
      <c r="E77" s="11"/>
      <c r="F77" s="1"/>
      <c r="G77" s="137"/>
      <c r="H77" s="5"/>
      <c r="I77" s="8"/>
      <c r="J77" s="8"/>
      <c r="K77" s="5"/>
      <c r="L77" s="5"/>
    </row>
    <row r="78" spans="1:12" s="6" customFormat="1">
      <c r="A78" s="4"/>
      <c r="B78" s="102"/>
      <c r="C78" s="5"/>
      <c r="D78" s="1"/>
      <c r="E78" s="11"/>
      <c r="F78" s="1"/>
      <c r="G78" s="137"/>
      <c r="H78" s="5"/>
      <c r="I78" s="8"/>
      <c r="J78" s="8"/>
      <c r="K78" s="5"/>
      <c r="L78" s="5"/>
    </row>
    <row r="79" spans="1:12" s="6" customFormat="1">
      <c r="A79" s="4"/>
      <c r="B79" s="102"/>
      <c r="C79" s="5"/>
      <c r="D79" s="1"/>
      <c r="E79" s="11"/>
      <c r="F79" s="1"/>
      <c r="G79" s="137"/>
      <c r="H79" s="5"/>
      <c r="I79" s="8"/>
      <c r="J79" s="8"/>
      <c r="K79" s="5"/>
      <c r="L79" s="5"/>
    </row>
    <row r="80" spans="1:12" s="6" customFormat="1">
      <c r="A80" s="4"/>
      <c r="B80" s="102"/>
      <c r="C80" s="5"/>
      <c r="D80" s="1"/>
      <c r="E80" s="11"/>
      <c r="F80" s="1"/>
      <c r="G80" s="137"/>
      <c r="H80" s="5"/>
      <c r="I80" s="8"/>
      <c r="J80" s="8"/>
      <c r="K80" s="5"/>
      <c r="L80" s="5"/>
    </row>
    <row r="81" spans="1:12" s="6" customFormat="1">
      <c r="A81" s="4"/>
      <c r="B81" s="102"/>
      <c r="C81" s="5"/>
      <c r="D81" s="1"/>
      <c r="E81" s="11"/>
      <c r="F81" s="1"/>
      <c r="G81" s="137"/>
      <c r="H81" s="5"/>
      <c r="I81" s="8"/>
      <c r="J81" s="8"/>
      <c r="K81" s="5"/>
      <c r="L81" s="5"/>
    </row>
    <row r="82" spans="1:12" s="6" customFormat="1">
      <c r="A82" s="4"/>
      <c r="B82" s="102"/>
      <c r="C82" s="5"/>
      <c r="D82" s="1"/>
      <c r="E82" s="11"/>
      <c r="F82" s="1"/>
      <c r="G82" s="137"/>
      <c r="H82" s="5"/>
      <c r="I82" s="8"/>
      <c r="J82" s="8"/>
      <c r="K82" s="5"/>
      <c r="L82" s="5"/>
    </row>
    <row r="83" spans="1:12" s="6" customFormat="1">
      <c r="A83" s="4"/>
      <c r="B83" s="102"/>
      <c r="C83" s="5"/>
      <c r="D83" s="1"/>
      <c r="E83" s="11"/>
      <c r="F83" s="1"/>
      <c r="G83" s="137"/>
      <c r="H83" s="5"/>
      <c r="I83" s="8"/>
      <c r="J83" s="8"/>
      <c r="K83" s="5"/>
      <c r="L83" s="5"/>
    </row>
    <row r="84" spans="1:12" s="6" customFormat="1">
      <c r="A84" s="4"/>
      <c r="B84" s="102"/>
      <c r="C84" s="5"/>
      <c r="D84" s="1"/>
      <c r="E84" s="11"/>
      <c r="F84" s="1"/>
      <c r="G84" s="137"/>
      <c r="H84" s="5"/>
      <c r="I84" s="8"/>
      <c r="J84" s="8"/>
      <c r="K84" s="5"/>
      <c r="L84" s="5"/>
    </row>
    <row r="85" spans="1:12" s="6" customFormat="1">
      <c r="A85" s="4"/>
      <c r="B85" s="102"/>
      <c r="C85" s="5"/>
      <c r="D85" s="1"/>
      <c r="E85" s="11"/>
      <c r="F85" s="1"/>
      <c r="G85" s="137"/>
      <c r="H85" s="5"/>
      <c r="I85" s="8"/>
      <c r="J85" s="8"/>
      <c r="K85" s="5"/>
      <c r="L85" s="5"/>
    </row>
    <row r="86" spans="1:12" s="6" customFormat="1">
      <c r="A86" s="4"/>
      <c r="B86" s="102"/>
      <c r="C86" s="5"/>
      <c r="D86" s="1"/>
      <c r="E86" s="11"/>
      <c r="F86" s="1"/>
      <c r="G86" s="137"/>
      <c r="H86" s="5"/>
      <c r="I86" s="8"/>
      <c r="J86" s="8"/>
      <c r="K86" s="5"/>
      <c r="L86" s="5"/>
    </row>
    <row r="87" spans="1:12" s="6" customFormat="1">
      <c r="A87" s="4"/>
      <c r="B87" s="102"/>
      <c r="C87" s="5"/>
      <c r="D87" s="1"/>
      <c r="E87" s="11"/>
      <c r="F87" s="1"/>
      <c r="G87" s="137"/>
      <c r="H87" s="5"/>
      <c r="I87" s="8"/>
      <c r="J87" s="8"/>
      <c r="K87" s="5"/>
      <c r="L87" s="5"/>
    </row>
    <row r="88" spans="1:12" s="6" customFormat="1">
      <c r="A88" s="4"/>
      <c r="B88" s="102"/>
      <c r="C88" s="5"/>
      <c r="D88" s="1"/>
      <c r="E88" s="11"/>
      <c r="F88" s="1"/>
      <c r="G88" s="137"/>
      <c r="H88" s="5"/>
      <c r="I88" s="8"/>
      <c r="J88" s="8"/>
      <c r="K88" s="5"/>
      <c r="L88" s="5"/>
    </row>
    <row r="89" spans="1:12" s="6" customFormat="1">
      <c r="A89" s="4"/>
      <c r="B89" s="102"/>
      <c r="C89" s="5"/>
      <c r="D89" s="1"/>
      <c r="E89" s="11"/>
      <c r="F89" s="1"/>
      <c r="G89" s="137"/>
      <c r="H89" s="5"/>
      <c r="I89" s="8"/>
      <c r="J89" s="8"/>
      <c r="K89" s="5"/>
      <c r="L89" s="5"/>
    </row>
    <row r="90" spans="1:12" s="6" customFormat="1">
      <c r="A90" s="4"/>
      <c r="B90" s="102"/>
      <c r="C90" s="5"/>
      <c r="D90" s="1"/>
      <c r="E90" s="11"/>
      <c r="F90" s="1"/>
      <c r="G90" s="137"/>
      <c r="H90" s="5"/>
      <c r="I90" s="8"/>
      <c r="J90" s="8"/>
      <c r="K90" s="5"/>
      <c r="L90" s="5"/>
    </row>
    <row r="91" spans="1:12" s="6" customFormat="1">
      <c r="A91" s="4"/>
      <c r="B91" s="102"/>
      <c r="C91" s="5"/>
      <c r="D91" s="1"/>
      <c r="E91" s="11"/>
      <c r="F91" s="1"/>
      <c r="G91" s="137"/>
      <c r="H91" s="5"/>
      <c r="I91" s="8"/>
      <c r="J91" s="8"/>
      <c r="K91" s="5"/>
      <c r="L91" s="5"/>
    </row>
    <row r="92" spans="1:12" s="6" customFormat="1">
      <c r="A92" s="4"/>
      <c r="B92" s="102"/>
      <c r="C92" s="5"/>
      <c r="D92" s="1"/>
      <c r="E92" s="11"/>
      <c r="F92" s="1"/>
      <c r="G92" s="137"/>
      <c r="H92" s="5"/>
      <c r="I92" s="8"/>
      <c r="J92" s="8"/>
      <c r="K92" s="5"/>
      <c r="L92" s="5"/>
    </row>
    <row r="93" spans="1:12" s="6" customFormat="1">
      <c r="A93" s="4"/>
      <c r="B93" s="102"/>
      <c r="C93" s="5"/>
      <c r="D93" s="1"/>
      <c r="E93" s="11"/>
      <c r="F93" s="1"/>
      <c r="G93" s="137"/>
      <c r="H93" s="5"/>
      <c r="I93" s="8"/>
      <c r="J93" s="8"/>
      <c r="K93" s="5"/>
      <c r="L93" s="5"/>
    </row>
    <row r="94" spans="1:12" s="6" customFormat="1">
      <c r="A94" s="4"/>
      <c r="B94" s="102"/>
      <c r="C94" s="5"/>
      <c r="D94" s="1"/>
      <c r="E94" s="11"/>
      <c r="F94" s="1"/>
      <c r="G94" s="137"/>
      <c r="H94" s="5"/>
      <c r="I94" s="8"/>
      <c r="J94" s="8"/>
      <c r="K94" s="5"/>
      <c r="L94" s="5"/>
    </row>
    <row r="95" spans="1:12" s="6" customFormat="1">
      <c r="A95" s="4"/>
      <c r="B95" s="102"/>
      <c r="C95" s="5"/>
      <c r="D95" s="1"/>
      <c r="E95" s="11"/>
      <c r="F95" s="1"/>
      <c r="G95" s="137"/>
      <c r="H95" s="5"/>
      <c r="I95" s="8"/>
      <c r="J95" s="8"/>
      <c r="K95" s="5"/>
      <c r="L95" s="5"/>
    </row>
    <row r="96" spans="1:12" s="6" customFormat="1">
      <c r="A96" s="4"/>
      <c r="B96" s="102"/>
      <c r="C96" s="5"/>
      <c r="D96" s="1"/>
      <c r="E96" s="11"/>
      <c r="F96" s="1"/>
      <c r="G96" s="137"/>
      <c r="H96" s="5"/>
      <c r="I96" s="8"/>
      <c r="J96" s="8"/>
      <c r="K96" s="5"/>
      <c r="L96" s="5"/>
    </row>
    <row r="97" spans="1:12" s="6" customFormat="1">
      <c r="A97" s="4"/>
      <c r="B97" s="102"/>
      <c r="C97" s="5"/>
      <c r="D97" s="1"/>
      <c r="E97" s="11"/>
      <c r="F97" s="1"/>
      <c r="G97" s="137"/>
      <c r="H97" s="5"/>
      <c r="I97" s="8"/>
      <c r="J97" s="8"/>
      <c r="K97" s="5"/>
      <c r="L97" s="5"/>
    </row>
    <row r="98" spans="1:12" s="6" customFormat="1">
      <c r="A98" s="4"/>
      <c r="B98" s="102"/>
      <c r="C98" s="5"/>
      <c r="D98" s="1"/>
      <c r="E98" s="11"/>
      <c r="F98" s="1"/>
      <c r="G98" s="137"/>
      <c r="H98" s="5"/>
      <c r="I98" s="8"/>
      <c r="J98" s="8"/>
      <c r="K98" s="5"/>
      <c r="L98" s="5"/>
    </row>
    <row r="99" spans="1:12" s="6" customFormat="1">
      <c r="A99" s="4"/>
      <c r="B99" s="102"/>
      <c r="C99" s="5"/>
      <c r="D99" s="1"/>
      <c r="E99" s="11"/>
      <c r="F99" s="1"/>
      <c r="G99" s="137"/>
      <c r="H99" s="5"/>
      <c r="I99" s="8"/>
      <c r="J99" s="8"/>
      <c r="K99" s="5"/>
      <c r="L99" s="5"/>
    </row>
    <row r="100" spans="1:12" s="6" customFormat="1">
      <c r="A100" s="4"/>
      <c r="B100" s="102"/>
      <c r="C100" s="5"/>
      <c r="D100" s="1"/>
      <c r="E100" s="11"/>
      <c r="F100" s="1"/>
      <c r="G100" s="137"/>
      <c r="H100" s="5"/>
      <c r="I100" s="8"/>
      <c r="J100" s="8"/>
      <c r="K100" s="5"/>
      <c r="L100" s="5"/>
    </row>
    <row r="101" spans="1:12" s="6" customFormat="1">
      <c r="A101" s="4"/>
      <c r="B101" s="102"/>
      <c r="C101" s="5"/>
      <c r="D101" s="1"/>
      <c r="E101" s="11"/>
      <c r="F101" s="1"/>
      <c r="G101" s="137"/>
      <c r="H101" s="5"/>
      <c r="I101" s="8"/>
      <c r="J101" s="8"/>
      <c r="K101" s="5"/>
      <c r="L101" s="5"/>
    </row>
    <row r="102" spans="1:12" s="6" customFormat="1">
      <c r="A102" s="4"/>
      <c r="B102" s="102"/>
      <c r="C102" s="5"/>
      <c r="D102" s="1"/>
      <c r="E102" s="11"/>
      <c r="F102" s="1"/>
      <c r="G102" s="137"/>
      <c r="H102" s="5"/>
      <c r="I102" s="8"/>
      <c r="J102" s="8"/>
      <c r="K102" s="5"/>
      <c r="L102" s="5"/>
    </row>
    <row r="103" spans="1:12" s="6" customFormat="1">
      <c r="A103" s="4"/>
      <c r="B103" s="102"/>
      <c r="C103" s="5"/>
      <c r="D103" s="1"/>
      <c r="E103" s="11"/>
      <c r="F103" s="1"/>
      <c r="G103" s="137"/>
      <c r="H103" s="5"/>
      <c r="I103" s="8"/>
      <c r="J103" s="8"/>
      <c r="K103" s="5"/>
      <c r="L103" s="5"/>
    </row>
    <row r="104" spans="1:12" s="6" customFormat="1">
      <c r="A104" s="4"/>
      <c r="B104" s="102"/>
      <c r="C104" s="5"/>
      <c r="D104" s="1"/>
      <c r="E104" s="11"/>
      <c r="F104" s="1"/>
      <c r="G104" s="137"/>
      <c r="H104" s="5"/>
      <c r="I104" s="8"/>
      <c r="J104" s="8"/>
      <c r="K104" s="5"/>
      <c r="L104" s="5"/>
    </row>
    <row r="105" spans="1:12" s="6" customFormat="1">
      <c r="A105" s="4"/>
      <c r="B105" s="102"/>
      <c r="C105" s="5"/>
      <c r="D105" s="1"/>
      <c r="E105" s="11"/>
      <c r="F105" s="1"/>
      <c r="G105" s="137"/>
      <c r="H105" s="5"/>
      <c r="I105" s="8"/>
      <c r="J105" s="8"/>
      <c r="K105" s="5"/>
      <c r="L105" s="5"/>
    </row>
    <row r="106" spans="1:12" s="6" customFormat="1">
      <c r="A106" s="4"/>
      <c r="B106" s="102"/>
      <c r="C106" s="5"/>
      <c r="D106" s="1"/>
      <c r="E106" s="11"/>
      <c r="F106" s="1"/>
      <c r="G106" s="137"/>
      <c r="H106" s="5"/>
      <c r="I106" s="8"/>
      <c r="J106" s="8"/>
      <c r="K106" s="5"/>
      <c r="L106" s="5"/>
    </row>
    <row r="107" spans="1:12" s="6" customFormat="1">
      <c r="A107" s="4"/>
      <c r="B107" s="102"/>
      <c r="C107" s="5"/>
      <c r="D107" s="1"/>
      <c r="E107" s="11"/>
      <c r="F107" s="1"/>
      <c r="G107" s="137"/>
      <c r="H107" s="5"/>
      <c r="I107" s="8"/>
      <c r="J107" s="8"/>
      <c r="K107" s="5"/>
      <c r="L107" s="5"/>
    </row>
    <row r="108" spans="1:12" s="6" customFormat="1">
      <c r="A108" s="4"/>
      <c r="B108" s="102"/>
      <c r="C108" s="5"/>
      <c r="D108" s="1"/>
      <c r="E108" s="11"/>
      <c r="F108" s="1"/>
      <c r="G108" s="137"/>
      <c r="H108" s="5"/>
      <c r="I108" s="8"/>
      <c r="J108" s="8"/>
      <c r="K108" s="5"/>
      <c r="L108" s="5"/>
    </row>
    <row r="109" spans="1:12" s="6" customFormat="1">
      <c r="A109" s="4"/>
      <c r="B109" s="102"/>
      <c r="C109" s="5"/>
      <c r="D109" s="1"/>
      <c r="E109" s="11"/>
      <c r="F109" s="1"/>
      <c r="G109" s="137"/>
      <c r="H109" s="5"/>
      <c r="I109" s="8"/>
      <c r="J109" s="8"/>
      <c r="K109" s="5"/>
      <c r="L109" s="5"/>
    </row>
    <row r="110" spans="1:12" s="6" customFormat="1">
      <c r="A110" s="4"/>
      <c r="B110" s="102"/>
      <c r="C110" s="5"/>
      <c r="D110" s="1"/>
      <c r="E110" s="11"/>
      <c r="F110" s="1"/>
      <c r="G110" s="137"/>
      <c r="H110" s="5"/>
      <c r="I110" s="8"/>
      <c r="J110" s="8"/>
      <c r="K110" s="5"/>
      <c r="L110" s="5"/>
    </row>
    <row r="111" spans="1:12" s="6" customFormat="1">
      <c r="A111" s="4"/>
      <c r="B111" s="102"/>
      <c r="C111" s="5"/>
      <c r="D111" s="1"/>
      <c r="E111" s="11"/>
      <c r="F111" s="1"/>
      <c r="G111" s="137"/>
      <c r="H111" s="5"/>
      <c r="I111" s="8"/>
      <c r="J111" s="8"/>
      <c r="K111" s="5"/>
      <c r="L111" s="5"/>
    </row>
    <row r="112" spans="1:12" s="6" customFormat="1">
      <c r="A112" s="4"/>
      <c r="B112" s="102"/>
      <c r="C112" s="5"/>
      <c r="D112" s="1"/>
      <c r="E112" s="11"/>
      <c r="F112" s="1"/>
      <c r="G112" s="137"/>
      <c r="H112" s="5"/>
      <c r="I112" s="8"/>
      <c r="J112" s="8"/>
      <c r="K112" s="5"/>
      <c r="L112" s="5"/>
    </row>
    <row r="113" spans="1:12" s="6" customFormat="1">
      <c r="A113" s="4"/>
      <c r="B113" s="103"/>
      <c r="C113" s="9"/>
      <c r="D113" s="1"/>
      <c r="E113" s="11"/>
      <c r="F113" s="1"/>
      <c r="G113" s="137"/>
      <c r="H113" s="9"/>
      <c r="I113" s="8"/>
      <c r="J113" s="8"/>
      <c r="K113" s="9"/>
      <c r="L113" s="9"/>
    </row>
    <row r="114" spans="1:12" s="6" customFormat="1">
      <c r="A114" s="4"/>
      <c r="B114" s="102"/>
      <c r="C114" s="5"/>
      <c r="D114" s="1"/>
      <c r="E114" s="11"/>
      <c r="F114" s="1"/>
      <c r="G114" s="137"/>
      <c r="H114" s="5"/>
      <c r="I114" s="8"/>
      <c r="J114" s="8"/>
      <c r="K114" s="5"/>
      <c r="L114" s="5"/>
    </row>
    <row r="115" spans="1:12" s="6" customFormat="1">
      <c r="A115" s="4"/>
      <c r="B115" s="102"/>
      <c r="C115" s="5"/>
      <c r="D115" s="1"/>
      <c r="E115" s="11"/>
      <c r="F115" s="1"/>
      <c r="G115" s="137"/>
      <c r="H115" s="5"/>
      <c r="I115" s="8"/>
      <c r="J115" s="8"/>
      <c r="K115" s="5"/>
      <c r="L115" s="5"/>
    </row>
    <row r="116" spans="1:12" s="6" customFormat="1">
      <c r="A116" s="4"/>
      <c r="B116" s="102"/>
      <c r="C116" s="5"/>
      <c r="D116" s="1"/>
      <c r="E116" s="11"/>
      <c r="F116" s="1"/>
      <c r="G116" s="137"/>
      <c r="H116" s="5"/>
      <c r="I116" s="8"/>
      <c r="J116" s="8"/>
      <c r="K116" s="5"/>
      <c r="L116" s="5"/>
    </row>
    <row r="117" spans="1:12" s="6" customFormat="1">
      <c r="A117" s="4"/>
      <c r="B117" s="102"/>
      <c r="C117" s="5"/>
      <c r="D117" s="1"/>
      <c r="E117" s="11"/>
      <c r="F117" s="1"/>
      <c r="G117" s="137"/>
      <c r="H117" s="5"/>
      <c r="I117" s="8"/>
      <c r="J117" s="8"/>
      <c r="K117" s="5"/>
      <c r="L117" s="5"/>
    </row>
    <row r="118" spans="1:12" s="6" customFormat="1">
      <c r="A118" s="4"/>
      <c r="B118" s="102"/>
      <c r="C118" s="5"/>
      <c r="D118" s="1"/>
      <c r="E118" s="11"/>
      <c r="F118" s="1"/>
      <c r="G118" s="137"/>
      <c r="H118" s="5"/>
      <c r="I118" s="8"/>
      <c r="J118" s="8"/>
      <c r="K118" s="5"/>
      <c r="L118" s="5"/>
    </row>
    <row r="119" spans="1:12" s="6" customFormat="1">
      <c r="A119" s="4"/>
      <c r="B119" s="102"/>
      <c r="C119" s="5"/>
      <c r="D119" s="1"/>
      <c r="E119" s="11"/>
      <c r="F119" s="1"/>
      <c r="G119" s="137"/>
      <c r="H119" s="5"/>
      <c r="I119" s="8"/>
      <c r="J119" s="8"/>
      <c r="K119" s="5"/>
      <c r="L119" s="5"/>
    </row>
    <row r="120" spans="1:12" s="6" customFormat="1">
      <c r="A120" s="4"/>
      <c r="B120" s="102"/>
      <c r="C120" s="5"/>
      <c r="D120" s="1"/>
      <c r="E120" s="11"/>
      <c r="F120" s="1"/>
      <c r="G120" s="137"/>
      <c r="H120" s="5"/>
      <c r="I120" s="8"/>
      <c r="J120" s="8"/>
      <c r="K120" s="5"/>
      <c r="L120" s="5"/>
    </row>
    <row r="121" spans="1:12" s="6" customFormat="1">
      <c r="A121" s="4"/>
      <c r="B121" s="102"/>
      <c r="C121" s="5"/>
      <c r="D121" s="1"/>
      <c r="E121" s="11"/>
      <c r="F121" s="1"/>
      <c r="G121" s="137"/>
      <c r="H121" s="5"/>
      <c r="I121" s="8"/>
      <c r="J121" s="8"/>
      <c r="K121" s="5"/>
      <c r="L121" s="5"/>
    </row>
    <row r="122" spans="1:12" s="6" customFormat="1">
      <c r="A122" s="4"/>
      <c r="B122" s="102"/>
      <c r="C122" s="5"/>
      <c r="D122" s="1"/>
      <c r="E122" s="11"/>
      <c r="F122" s="1"/>
      <c r="G122" s="137"/>
      <c r="H122" s="5"/>
      <c r="I122" s="8"/>
      <c r="J122" s="8"/>
      <c r="K122" s="5"/>
      <c r="L122" s="5"/>
    </row>
    <row r="123" spans="1:12" s="6" customFormat="1">
      <c r="A123" s="4"/>
      <c r="B123" s="102"/>
      <c r="C123" s="5"/>
      <c r="D123" s="1"/>
      <c r="E123" s="11"/>
      <c r="F123" s="1"/>
      <c r="G123" s="137"/>
      <c r="H123" s="5"/>
      <c r="I123" s="8"/>
      <c r="J123" s="8"/>
      <c r="K123" s="5"/>
      <c r="L123" s="5"/>
    </row>
    <row r="124" spans="1:12" s="6" customFormat="1">
      <c r="A124" s="4"/>
      <c r="B124" s="102"/>
      <c r="C124" s="5"/>
      <c r="D124" s="1"/>
      <c r="E124" s="11"/>
      <c r="F124" s="1"/>
      <c r="G124" s="137"/>
      <c r="H124" s="5"/>
      <c r="I124" s="8"/>
      <c r="J124" s="8"/>
      <c r="K124" s="5"/>
      <c r="L124" s="5"/>
    </row>
    <row r="125" spans="1:12" s="6" customFormat="1">
      <c r="A125" s="4"/>
      <c r="B125" s="102"/>
      <c r="C125" s="5"/>
      <c r="D125" s="1"/>
      <c r="E125" s="11"/>
      <c r="F125" s="1"/>
      <c r="G125" s="137"/>
      <c r="H125" s="5"/>
      <c r="I125" s="8"/>
      <c r="J125" s="8"/>
      <c r="K125" s="5"/>
      <c r="L125" s="5"/>
    </row>
    <row r="126" spans="1:12" s="6" customFormat="1">
      <c r="A126" s="4"/>
      <c r="B126" s="102"/>
      <c r="C126" s="5"/>
      <c r="D126" s="1"/>
      <c r="E126" s="11"/>
      <c r="F126" s="1"/>
      <c r="G126" s="137"/>
      <c r="H126" s="5"/>
      <c r="I126" s="8"/>
      <c r="J126" s="8"/>
      <c r="K126" s="5"/>
      <c r="L126" s="5"/>
    </row>
    <row r="127" spans="1:12" s="6" customFormat="1">
      <c r="A127" s="4"/>
      <c r="B127" s="102"/>
      <c r="C127" s="5"/>
      <c r="D127" s="1"/>
      <c r="E127" s="11"/>
      <c r="F127" s="1"/>
      <c r="G127" s="137"/>
      <c r="H127" s="5"/>
      <c r="I127" s="8"/>
      <c r="J127" s="8"/>
      <c r="K127" s="5"/>
      <c r="L127" s="5"/>
    </row>
    <row r="128" spans="1:12" s="6" customFormat="1">
      <c r="A128" s="4"/>
      <c r="B128" s="102"/>
      <c r="C128" s="5"/>
      <c r="D128" s="1"/>
      <c r="E128" s="11"/>
      <c r="F128" s="1"/>
      <c r="G128" s="137"/>
      <c r="H128" s="5"/>
      <c r="I128" s="8"/>
      <c r="J128" s="8"/>
      <c r="K128" s="5"/>
      <c r="L128" s="5"/>
    </row>
    <row r="129" spans="1:12" s="6" customFormat="1">
      <c r="A129" s="4"/>
      <c r="B129" s="102"/>
      <c r="C129" s="5"/>
      <c r="D129" s="1"/>
      <c r="E129" s="11"/>
      <c r="F129" s="1"/>
      <c r="G129" s="137"/>
      <c r="H129" s="5"/>
      <c r="I129" s="8"/>
      <c r="J129" s="8"/>
      <c r="K129" s="5"/>
      <c r="L129" s="5"/>
    </row>
    <row r="130" spans="1:12" s="6" customFormat="1">
      <c r="A130" s="4"/>
      <c r="B130" s="102"/>
      <c r="C130" s="5"/>
      <c r="D130" s="1"/>
      <c r="E130" s="11"/>
      <c r="F130" s="1"/>
      <c r="G130" s="137"/>
      <c r="H130" s="5"/>
      <c r="I130" s="8"/>
      <c r="J130" s="8"/>
      <c r="K130" s="5"/>
      <c r="L130" s="5"/>
    </row>
    <row r="131" spans="1:12" s="6" customFormat="1">
      <c r="A131" s="4"/>
      <c r="B131" s="102"/>
      <c r="C131" s="5"/>
      <c r="D131" s="1"/>
      <c r="E131" s="11"/>
      <c r="F131" s="1"/>
      <c r="G131" s="137"/>
      <c r="H131" s="5"/>
      <c r="I131" s="8"/>
      <c r="J131" s="8"/>
      <c r="K131" s="5"/>
      <c r="L131" s="5"/>
    </row>
    <row r="132" spans="1:12" s="6" customFormat="1">
      <c r="A132" s="4"/>
      <c r="B132" s="102"/>
      <c r="C132" s="5"/>
      <c r="D132" s="1"/>
      <c r="E132" s="11"/>
      <c r="F132" s="1"/>
      <c r="G132" s="137"/>
      <c r="H132" s="5"/>
      <c r="I132" s="8"/>
      <c r="J132" s="8"/>
      <c r="K132" s="5"/>
      <c r="L132" s="5"/>
    </row>
    <row r="133" spans="1:12" s="6" customFormat="1">
      <c r="A133" s="4"/>
      <c r="B133" s="102"/>
      <c r="C133" s="5"/>
      <c r="D133" s="1"/>
      <c r="E133" s="11"/>
      <c r="F133" s="1"/>
      <c r="G133" s="137"/>
      <c r="H133" s="5"/>
      <c r="I133" s="8"/>
      <c r="J133" s="8"/>
      <c r="K133" s="5"/>
      <c r="L133" s="5"/>
    </row>
    <row r="134" spans="1:12" s="6" customFormat="1">
      <c r="A134" s="4"/>
      <c r="B134" s="102"/>
      <c r="C134" s="5"/>
      <c r="D134" s="1"/>
      <c r="E134" s="11"/>
      <c r="F134" s="1"/>
      <c r="G134" s="137"/>
      <c r="H134" s="5"/>
      <c r="I134" s="8"/>
      <c r="J134" s="8"/>
      <c r="K134" s="5"/>
      <c r="L134" s="5"/>
    </row>
    <row r="135" spans="1:12" s="6" customFormat="1">
      <c r="A135" s="4"/>
      <c r="B135" s="102"/>
      <c r="C135" s="5"/>
      <c r="D135" s="1"/>
      <c r="E135" s="11"/>
      <c r="F135" s="1"/>
      <c r="G135" s="137"/>
      <c r="H135" s="5"/>
      <c r="I135" s="8"/>
      <c r="J135" s="8"/>
      <c r="K135" s="5"/>
      <c r="L135" s="5"/>
    </row>
    <row r="136" spans="1:12" s="6" customFormat="1">
      <c r="A136" s="4"/>
      <c r="B136" s="102"/>
      <c r="C136" s="5"/>
      <c r="D136" s="1"/>
      <c r="E136" s="11"/>
      <c r="F136" s="1"/>
      <c r="G136" s="137"/>
      <c r="H136" s="5"/>
      <c r="I136" s="8"/>
      <c r="J136" s="8"/>
      <c r="K136" s="5"/>
      <c r="L136" s="5"/>
    </row>
    <row r="137" spans="1:12" s="6" customFormat="1">
      <c r="A137" s="4"/>
      <c r="B137" s="102"/>
      <c r="C137" s="5"/>
      <c r="D137" s="1"/>
      <c r="E137" s="11"/>
      <c r="F137" s="1"/>
      <c r="G137" s="137"/>
      <c r="H137" s="5"/>
      <c r="I137" s="8"/>
      <c r="J137" s="8"/>
      <c r="K137" s="5"/>
      <c r="L137" s="5"/>
    </row>
    <row r="138" spans="1:12" s="6" customFormat="1">
      <c r="A138" s="4"/>
      <c r="B138" s="102"/>
      <c r="C138" s="5"/>
      <c r="D138" s="1"/>
      <c r="E138" s="11"/>
      <c r="F138" s="1"/>
      <c r="G138" s="137"/>
      <c r="H138" s="5"/>
      <c r="I138" s="8"/>
      <c r="J138" s="8"/>
      <c r="K138" s="5"/>
      <c r="L138" s="5"/>
    </row>
    <row r="139" spans="1:12" s="6" customFormat="1">
      <c r="A139" s="4"/>
      <c r="B139" s="102"/>
      <c r="C139" s="5"/>
      <c r="D139" s="1"/>
      <c r="E139" s="11"/>
      <c r="F139" s="1"/>
      <c r="G139" s="137"/>
      <c r="H139" s="5"/>
      <c r="I139" s="8"/>
      <c r="J139" s="8"/>
      <c r="K139" s="5"/>
      <c r="L139" s="5"/>
    </row>
    <row r="140" spans="1:12" s="6" customFormat="1">
      <c r="A140" s="4"/>
      <c r="B140" s="102"/>
      <c r="C140" s="5"/>
      <c r="D140" s="1"/>
      <c r="E140" s="11"/>
      <c r="F140" s="1"/>
      <c r="G140" s="137"/>
      <c r="H140" s="5"/>
      <c r="I140" s="8"/>
      <c r="J140" s="8"/>
      <c r="K140" s="5"/>
      <c r="L140" s="5"/>
    </row>
    <row r="141" spans="1:12" s="6" customFormat="1">
      <c r="A141" s="4"/>
      <c r="B141" s="102"/>
      <c r="C141" s="5"/>
      <c r="D141" s="1"/>
      <c r="E141" s="11"/>
      <c r="F141" s="1"/>
      <c r="G141" s="137"/>
      <c r="H141" s="5"/>
      <c r="I141" s="8"/>
      <c r="J141" s="8"/>
      <c r="K141" s="5"/>
      <c r="L141" s="5"/>
    </row>
    <row r="142" spans="1:12" s="6" customFormat="1">
      <c r="A142" s="4"/>
      <c r="B142" s="102"/>
      <c r="C142" s="5"/>
      <c r="D142" s="1"/>
      <c r="E142" s="11"/>
      <c r="F142" s="1"/>
      <c r="G142" s="137"/>
      <c r="H142" s="5"/>
      <c r="I142" s="8"/>
      <c r="J142" s="8"/>
      <c r="K142" s="5"/>
      <c r="L142" s="5"/>
    </row>
    <row r="143" spans="1:12" s="6" customFormat="1">
      <c r="A143" s="4"/>
      <c r="B143" s="102"/>
      <c r="C143" s="5"/>
      <c r="D143" s="1"/>
      <c r="E143" s="11"/>
      <c r="F143" s="1"/>
      <c r="G143" s="137"/>
      <c r="H143" s="5"/>
      <c r="I143" s="8"/>
      <c r="J143" s="8"/>
      <c r="K143" s="5"/>
      <c r="L143" s="5"/>
    </row>
    <row r="144" spans="1:12" s="6" customFormat="1">
      <c r="A144" s="4"/>
      <c r="B144" s="102"/>
      <c r="C144" s="5"/>
      <c r="D144" s="1"/>
      <c r="E144" s="11"/>
      <c r="F144" s="1"/>
      <c r="G144" s="137"/>
      <c r="H144" s="5"/>
      <c r="I144" s="8"/>
      <c r="J144" s="8"/>
      <c r="K144" s="5"/>
      <c r="L144" s="5"/>
    </row>
    <row r="145" spans="1:12" s="6" customFormat="1">
      <c r="A145" s="4"/>
      <c r="B145" s="102"/>
      <c r="C145" s="5"/>
      <c r="D145" s="1"/>
      <c r="E145" s="11"/>
      <c r="F145" s="1"/>
      <c r="G145" s="137"/>
      <c r="H145" s="5"/>
      <c r="I145" s="8"/>
      <c r="J145" s="8"/>
      <c r="K145" s="5"/>
      <c r="L145" s="5"/>
    </row>
    <row r="146" spans="1:12" s="6" customFormat="1">
      <c r="A146" s="4"/>
      <c r="B146" s="102"/>
      <c r="C146" s="5"/>
      <c r="D146" s="1"/>
      <c r="E146" s="11"/>
      <c r="F146" s="1"/>
      <c r="G146" s="137"/>
      <c r="H146" s="5"/>
      <c r="I146" s="8"/>
      <c r="J146" s="8"/>
      <c r="K146" s="5"/>
      <c r="L146" s="5"/>
    </row>
    <row r="147" spans="1:12" s="6" customFormat="1">
      <c r="A147" s="4"/>
      <c r="B147" s="102"/>
      <c r="C147" s="5"/>
      <c r="D147" s="1"/>
      <c r="E147" s="11"/>
      <c r="F147" s="1"/>
      <c r="G147" s="137"/>
      <c r="H147" s="5"/>
      <c r="I147" s="8"/>
      <c r="J147" s="8"/>
      <c r="K147" s="5"/>
      <c r="L147" s="5"/>
    </row>
    <row r="148" spans="1:12" s="6" customFormat="1">
      <c r="A148" s="4"/>
      <c r="B148" s="102"/>
      <c r="C148" s="5"/>
      <c r="D148" s="1"/>
      <c r="E148" s="11"/>
      <c r="F148" s="1"/>
      <c r="G148" s="137"/>
      <c r="H148" s="5"/>
      <c r="I148" s="8"/>
      <c r="J148" s="8"/>
      <c r="K148" s="5"/>
      <c r="L148" s="5"/>
    </row>
    <row r="149" spans="1:12" s="6" customFormat="1">
      <c r="A149" s="4"/>
      <c r="B149" s="102"/>
      <c r="C149" s="5"/>
      <c r="D149" s="1"/>
      <c r="E149" s="11"/>
      <c r="F149" s="1"/>
      <c r="G149" s="137"/>
      <c r="H149" s="5"/>
      <c r="I149" s="8"/>
      <c r="J149" s="8"/>
      <c r="K149" s="5"/>
      <c r="L149" s="5"/>
    </row>
    <row r="150" spans="1:12" s="6" customFormat="1">
      <c r="A150" s="4"/>
      <c r="B150" s="102"/>
      <c r="C150" s="5"/>
      <c r="D150" s="1"/>
      <c r="E150" s="11"/>
      <c r="F150" s="1"/>
      <c r="G150" s="137"/>
      <c r="H150" s="5"/>
      <c r="I150" s="8"/>
      <c r="J150" s="8"/>
      <c r="K150" s="5"/>
      <c r="L150" s="5"/>
    </row>
    <row r="151" spans="1:12" s="6" customFormat="1">
      <c r="A151" s="4"/>
      <c r="B151" s="102"/>
      <c r="C151" s="5"/>
      <c r="D151" s="1"/>
      <c r="E151" s="11"/>
      <c r="F151" s="1"/>
      <c r="G151" s="137"/>
      <c r="H151" s="5"/>
      <c r="I151" s="8"/>
      <c r="J151" s="8"/>
      <c r="K151" s="5"/>
      <c r="L151" s="5"/>
    </row>
    <row r="152" spans="1:12" s="6" customFormat="1">
      <c r="A152" s="4"/>
      <c r="B152" s="102"/>
      <c r="C152" s="5"/>
      <c r="D152" s="1"/>
      <c r="E152" s="11"/>
      <c r="F152" s="1"/>
      <c r="G152" s="137"/>
      <c r="H152" s="5"/>
      <c r="I152" s="8"/>
      <c r="J152" s="8"/>
      <c r="K152" s="5"/>
      <c r="L152" s="5"/>
    </row>
    <row r="153" spans="1:12" s="6" customFormat="1">
      <c r="A153" s="4"/>
      <c r="B153" s="102"/>
      <c r="C153" s="5"/>
      <c r="D153" s="1"/>
      <c r="E153" s="11"/>
      <c r="F153" s="1"/>
      <c r="G153" s="137"/>
      <c r="H153" s="5"/>
      <c r="I153" s="8"/>
      <c r="J153" s="8"/>
      <c r="K153" s="5"/>
      <c r="L153" s="5"/>
    </row>
    <row r="154" spans="1:12" s="6" customFormat="1">
      <c r="A154" s="4"/>
      <c r="B154" s="102"/>
      <c r="C154" s="5"/>
      <c r="D154" s="1"/>
      <c r="E154" s="11"/>
      <c r="F154" s="1"/>
      <c r="G154" s="137"/>
      <c r="H154" s="5"/>
      <c r="I154" s="8"/>
      <c r="J154" s="8"/>
      <c r="K154" s="5"/>
      <c r="L154" s="5"/>
    </row>
    <row r="155" spans="1:12" s="6" customFormat="1">
      <c r="A155" s="4"/>
      <c r="B155" s="102"/>
      <c r="C155" s="5"/>
      <c r="D155" s="1"/>
      <c r="E155" s="11"/>
      <c r="F155" s="1"/>
      <c r="G155" s="137"/>
      <c r="H155" s="5"/>
      <c r="I155" s="8"/>
      <c r="J155" s="8"/>
      <c r="K155" s="5"/>
      <c r="L155" s="5"/>
    </row>
    <row r="156" spans="1:12" s="6" customFormat="1">
      <c r="A156" s="4"/>
      <c r="B156" s="102"/>
      <c r="C156" s="5"/>
      <c r="D156" s="1"/>
      <c r="E156" s="11"/>
      <c r="F156" s="1"/>
      <c r="G156" s="137"/>
      <c r="H156" s="5"/>
      <c r="I156" s="8"/>
      <c r="J156" s="8"/>
      <c r="K156" s="5"/>
      <c r="L156" s="5"/>
    </row>
    <row r="157" spans="1:12" s="6" customFormat="1">
      <c r="A157" s="4"/>
      <c r="B157" s="102"/>
      <c r="C157" s="5"/>
      <c r="D157" s="1"/>
      <c r="E157" s="11"/>
      <c r="F157" s="1"/>
      <c r="G157" s="137"/>
      <c r="H157" s="5"/>
      <c r="I157" s="8"/>
      <c r="J157" s="8"/>
      <c r="K157" s="5"/>
      <c r="L157" s="5"/>
    </row>
    <row r="158" spans="1:12" s="6" customFormat="1">
      <c r="A158" s="4"/>
      <c r="B158" s="102"/>
      <c r="C158" s="5"/>
      <c r="D158" s="1"/>
      <c r="E158" s="11"/>
      <c r="F158" s="1"/>
      <c r="G158" s="137"/>
      <c r="H158" s="5"/>
      <c r="I158" s="8"/>
      <c r="J158" s="8"/>
      <c r="K158" s="5"/>
      <c r="L158" s="5"/>
    </row>
    <row r="159" spans="1:12" s="6" customFormat="1">
      <c r="A159" s="4"/>
      <c r="B159" s="102"/>
      <c r="C159" s="5"/>
      <c r="D159" s="1"/>
      <c r="E159" s="11"/>
      <c r="F159" s="1"/>
      <c r="G159" s="137"/>
      <c r="H159" s="5"/>
      <c r="I159" s="8"/>
      <c r="J159" s="8"/>
      <c r="K159" s="5"/>
      <c r="L159" s="5"/>
    </row>
    <row r="160" spans="1:12" s="6" customFormat="1">
      <c r="A160" s="4"/>
      <c r="B160" s="102"/>
      <c r="C160" s="5"/>
      <c r="D160" s="1"/>
      <c r="E160" s="11"/>
      <c r="F160" s="1"/>
      <c r="G160" s="137"/>
      <c r="H160" s="5"/>
      <c r="I160" s="8"/>
      <c r="J160" s="8"/>
      <c r="K160" s="5"/>
      <c r="L160" s="5"/>
    </row>
    <row r="161" spans="1:12" s="6" customFormat="1">
      <c r="A161" s="4"/>
      <c r="B161" s="102"/>
      <c r="C161" s="5"/>
      <c r="D161" s="1"/>
      <c r="E161" s="11"/>
      <c r="F161" s="1"/>
      <c r="G161" s="137"/>
      <c r="H161" s="5"/>
      <c r="I161" s="8"/>
      <c r="J161" s="8"/>
      <c r="K161" s="5"/>
      <c r="L161" s="5"/>
    </row>
    <row r="162" spans="1:12" s="6" customFormat="1">
      <c r="A162" s="4"/>
      <c r="B162" s="102"/>
      <c r="C162" s="5"/>
      <c r="D162" s="1"/>
      <c r="E162" s="11"/>
      <c r="F162" s="1"/>
      <c r="G162" s="137"/>
      <c r="H162" s="5"/>
      <c r="I162" s="8"/>
      <c r="J162" s="8"/>
      <c r="K162" s="5"/>
      <c r="L162" s="5"/>
    </row>
    <row r="163" spans="1:12" s="6" customFormat="1">
      <c r="A163" s="4"/>
      <c r="B163" s="102"/>
      <c r="C163" s="5"/>
      <c r="D163" s="1"/>
      <c r="E163" s="11"/>
      <c r="F163" s="1"/>
      <c r="G163" s="137"/>
      <c r="H163" s="5"/>
      <c r="I163" s="8"/>
      <c r="J163" s="8"/>
      <c r="K163" s="5"/>
      <c r="L163" s="5"/>
    </row>
    <row r="164" spans="1:12" s="6" customFormat="1">
      <c r="A164" s="4"/>
      <c r="B164" s="102"/>
      <c r="C164" s="5"/>
      <c r="D164" s="1"/>
      <c r="E164" s="11"/>
      <c r="F164" s="1"/>
      <c r="G164" s="137"/>
      <c r="H164" s="5"/>
      <c r="I164" s="8"/>
      <c r="J164" s="8"/>
      <c r="K164" s="5"/>
      <c r="L164" s="5"/>
    </row>
    <row r="165" spans="1:12" s="6" customFormat="1">
      <c r="A165" s="4"/>
      <c r="B165" s="102"/>
      <c r="C165" s="5"/>
      <c r="D165" s="1"/>
      <c r="E165" s="11"/>
      <c r="F165" s="1"/>
      <c r="G165" s="137"/>
      <c r="H165" s="5"/>
      <c r="I165" s="8"/>
      <c r="J165" s="8"/>
      <c r="K165" s="5"/>
      <c r="L165" s="5"/>
    </row>
    <row r="166" spans="1:12" s="6" customFormat="1">
      <c r="A166" s="4"/>
      <c r="B166" s="102"/>
      <c r="C166" s="5"/>
      <c r="D166" s="1"/>
      <c r="E166" s="11"/>
      <c r="F166" s="1"/>
      <c r="G166" s="137"/>
      <c r="H166" s="5"/>
      <c r="I166" s="8"/>
      <c r="J166" s="8"/>
      <c r="K166" s="5"/>
      <c r="L166" s="5"/>
    </row>
    <row r="167" spans="1:12" s="6" customFormat="1">
      <c r="A167" s="4"/>
      <c r="B167" s="102"/>
      <c r="C167" s="5"/>
      <c r="D167" s="1"/>
      <c r="E167" s="11"/>
      <c r="F167" s="1"/>
      <c r="G167" s="137"/>
      <c r="H167" s="5"/>
      <c r="I167" s="8"/>
      <c r="J167" s="8"/>
      <c r="K167" s="5"/>
      <c r="L167" s="5"/>
    </row>
    <row r="168" spans="1:12" s="6" customFormat="1">
      <c r="A168" s="4"/>
      <c r="B168" s="102"/>
      <c r="C168" s="5"/>
      <c r="D168" s="1"/>
      <c r="E168" s="11"/>
      <c r="F168" s="1"/>
      <c r="G168" s="137"/>
      <c r="H168" s="5"/>
      <c r="I168" s="8"/>
      <c r="J168" s="8"/>
      <c r="K168" s="5"/>
      <c r="L168" s="5"/>
    </row>
    <row r="169" spans="1:12" s="6" customFormat="1">
      <c r="A169" s="4"/>
      <c r="B169" s="102"/>
      <c r="C169" s="5"/>
      <c r="D169" s="1"/>
      <c r="E169" s="11"/>
      <c r="F169" s="1"/>
      <c r="G169" s="137"/>
      <c r="H169" s="5"/>
      <c r="I169" s="8"/>
      <c r="J169" s="8"/>
      <c r="K169" s="5"/>
      <c r="L169" s="5"/>
    </row>
    <row r="170" spans="1:12" s="6" customFormat="1">
      <c r="A170" s="4"/>
      <c r="B170" s="102"/>
      <c r="C170" s="5"/>
      <c r="D170" s="1"/>
      <c r="E170" s="11"/>
      <c r="F170" s="1"/>
      <c r="G170" s="137"/>
      <c r="H170" s="5"/>
      <c r="I170" s="8"/>
      <c r="J170" s="8"/>
      <c r="K170" s="5"/>
      <c r="L170" s="5"/>
    </row>
    <row r="171" spans="1:12" s="6" customFormat="1">
      <c r="A171" s="4"/>
      <c r="B171" s="102"/>
      <c r="C171" s="5"/>
      <c r="D171" s="1"/>
      <c r="E171" s="11"/>
      <c r="F171" s="1"/>
      <c r="G171" s="137"/>
      <c r="H171" s="5"/>
      <c r="I171" s="8"/>
      <c r="J171" s="8"/>
      <c r="K171" s="5"/>
      <c r="L171" s="5"/>
    </row>
    <row r="172" spans="1:12" s="6" customFormat="1">
      <c r="A172" s="4"/>
      <c r="B172" s="102"/>
      <c r="C172" s="5"/>
      <c r="D172" s="1"/>
      <c r="E172" s="11"/>
      <c r="F172" s="1"/>
      <c r="G172" s="137"/>
      <c r="H172" s="5"/>
      <c r="I172" s="8"/>
      <c r="J172" s="8"/>
      <c r="K172" s="5"/>
      <c r="L172" s="5"/>
    </row>
    <row r="173" spans="1:12" s="6" customFormat="1">
      <c r="A173" s="4"/>
      <c r="B173" s="102"/>
      <c r="C173" s="5"/>
      <c r="D173" s="1"/>
      <c r="E173" s="11"/>
      <c r="F173" s="1"/>
      <c r="G173" s="137"/>
      <c r="H173" s="5"/>
      <c r="I173" s="8"/>
      <c r="J173" s="8"/>
      <c r="K173" s="5"/>
      <c r="L173" s="5"/>
    </row>
    <row r="174" spans="1:12" s="6" customFormat="1">
      <c r="A174" s="4"/>
      <c r="B174" s="102"/>
      <c r="C174" s="5"/>
      <c r="D174" s="1"/>
      <c r="E174" s="11"/>
      <c r="F174" s="1"/>
      <c r="G174" s="137"/>
      <c r="H174" s="5"/>
      <c r="I174" s="8"/>
      <c r="J174" s="8"/>
      <c r="K174" s="5"/>
      <c r="L174" s="5"/>
    </row>
    <row r="175" spans="1:12" s="6" customFormat="1">
      <c r="A175" s="4"/>
      <c r="B175" s="102"/>
      <c r="C175" s="5"/>
      <c r="D175" s="1"/>
      <c r="E175" s="11"/>
      <c r="F175" s="1"/>
      <c r="G175" s="137"/>
      <c r="H175" s="5"/>
      <c r="I175" s="8"/>
      <c r="J175" s="8"/>
      <c r="K175" s="5"/>
      <c r="L175" s="5"/>
    </row>
    <row r="176" spans="1:12" s="6" customFormat="1">
      <c r="A176" s="4"/>
      <c r="B176" s="102"/>
      <c r="C176" s="5"/>
      <c r="D176" s="1"/>
      <c r="E176" s="11"/>
      <c r="F176" s="1"/>
      <c r="G176" s="137"/>
      <c r="H176" s="5"/>
      <c r="I176" s="8"/>
      <c r="J176" s="8"/>
      <c r="K176" s="5"/>
      <c r="L176" s="5"/>
    </row>
    <row r="177" spans="1:12" s="6" customFormat="1">
      <c r="A177" s="4"/>
      <c r="B177" s="102"/>
      <c r="C177" s="5"/>
      <c r="D177" s="1"/>
      <c r="E177" s="11"/>
      <c r="F177" s="1"/>
      <c r="G177" s="137"/>
      <c r="H177" s="5"/>
      <c r="I177" s="8"/>
      <c r="J177" s="8"/>
      <c r="K177" s="5"/>
      <c r="L177" s="5"/>
    </row>
    <row r="178" spans="1:12" s="6" customFormat="1">
      <c r="A178" s="4"/>
      <c r="B178" s="102"/>
      <c r="C178" s="5"/>
      <c r="D178" s="1"/>
      <c r="E178" s="11"/>
      <c r="F178" s="1"/>
      <c r="G178" s="137"/>
      <c r="H178" s="5"/>
      <c r="I178" s="8"/>
      <c r="J178" s="8"/>
      <c r="K178" s="5"/>
      <c r="L178" s="5"/>
    </row>
    <row r="179" spans="1:12" s="6" customFormat="1">
      <c r="A179" s="4"/>
      <c r="B179" s="102"/>
      <c r="C179" s="5"/>
      <c r="D179" s="1"/>
      <c r="E179" s="11"/>
      <c r="F179" s="1"/>
      <c r="G179" s="137"/>
      <c r="H179" s="5"/>
      <c r="I179" s="8"/>
      <c r="J179" s="8"/>
      <c r="K179" s="5"/>
      <c r="L179" s="5"/>
    </row>
    <row r="180" spans="1:12" s="6" customFormat="1">
      <c r="A180" s="4"/>
      <c r="B180" s="102"/>
      <c r="C180" s="5"/>
      <c r="D180" s="1"/>
      <c r="E180" s="11"/>
      <c r="F180" s="1"/>
      <c r="G180" s="137"/>
      <c r="H180" s="5"/>
      <c r="I180" s="8"/>
      <c r="J180" s="8"/>
      <c r="K180" s="5"/>
      <c r="L180" s="5"/>
    </row>
    <row r="181" spans="1:12" s="6" customFormat="1">
      <c r="A181" s="4"/>
      <c r="B181" s="102"/>
      <c r="C181" s="5"/>
      <c r="D181" s="1"/>
      <c r="E181" s="11"/>
      <c r="F181" s="1"/>
      <c r="G181" s="137"/>
      <c r="H181" s="5"/>
      <c r="I181" s="8"/>
      <c r="J181" s="8"/>
      <c r="K181" s="5"/>
      <c r="L181" s="5"/>
    </row>
    <row r="182" spans="1:12" s="6" customFormat="1">
      <c r="A182" s="4"/>
      <c r="B182" s="102"/>
      <c r="C182" s="5"/>
      <c r="D182" s="1"/>
      <c r="E182" s="11"/>
      <c r="F182" s="1"/>
      <c r="G182" s="137"/>
      <c r="H182" s="5"/>
      <c r="I182" s="8"/>
      <c r="J182" s="8"/>
      <c r="K182" s="5"/>
      <c r="L182" s="5"/>
    </row>
    <row r="183" spans="1:12" s="6" customFormat="1">
      <c r="A183" s="4"/>
      <c r="B183" s="102"/>
      <c r="C183" s="5"/>
      <c r="D183" s="1"/>
      <c r="E183" s="11"/>
      <c r="F183" s="1"/>
      <c r="G183" s="137"/>
      <c r="H183" s="10"/>
      <c r="I183" s="8"/>
      <c r="J183" s="8"/>
      <c r="K183" s="10"/>
      <c r="L183" s="5"/>
    </row>
    <row r="184" spans="1:12" s="6" customFormat="1">
      <c r="A184" s="4"/>
      <c r="B184" s="102"/>
      <c r="C184" s="5"/>
      <c r="D184" s="1"/>
      <c r="E184" s="11"/>
      <c r="F184" s="1"/>
      <c r="G184" s="137"/>
      <c r="H184" s="5"/>
      <c r="I184" s="8"/>
      <c r="J184" s="8"/>
      <c r="K184" s="5"/>
      <c r="L184" s="5"/>
    </row>
    <row r="185" spans="1:12" s="6" customFormat="1">
      <c r="A185" s="4"/>
      <c r="B185" s="102"/>
      <c r="C185" s="5"/>
      <c r="D185" s="1"/>
      <c r="E185" s="11"/>
      <c r="F185" s="1"/>
      <c r="G185" s="137"/>
      <c r="H185" s="5"/>
      <c r="I185" s="8"/>
      <c r="J185" s="8"/>
      <c r="K185" s="5"/>
      <c r="L185" s="5"/>
    </row>
    <row r="186" spans="1:12" s="6" customFormat="1">
      <c r="A186" s="4"/>
      <c r="B186" s="102"/>
      <c r="C186" s="5"/>
      <c r="D186" s="1"/>
      <c r="E186" s="11"/>
      <c r="F186" s="1"/>
      <c r="G186" s="137"/>
      <c r="H186" s="5"/>
      <c r="I186" s="8"/>
      <c r="J186" s="8"/>
      <c r="K186" s="5"/>
      <c r="L186" s="5"/>
    </row>
    <row r="187" spans="1:12" s="6" customFormat="1">
      <c r="A187" s="4"/>
      <c r="B187" s="102"/>
      <c r="C187" s="5"/>
      <c r="D187" s="1"/>
      <c r="E187" s="11"/>
      <c r="F187" s="1"/>
      <c r="G187" s="137"/>
      <c r="H187" s="5"/>
      <c r="I187" s="8"/>
      <c r="J187" s="8"/>
      <c r="K187" s="5"/>
      <c r="L187" s="5"/>
    </row>
    <row r="188" spans="1:12" s="6" customFormat="1">
      <c r="A188" s="4"/>
      <c r="B188" s="102"/>
      <c r="C188" s="5"/>
      <c r="D188" s="1"/>
      <c r="E188" s="11"/>
      <c r="F188" s="1"/>
      <c r="G188" s="137"/>
      <c r="H188" s="5"/>
      <c r="I188" s="8"/>
      <c r="J188" s="8"/>
      <c r="K188" s="5"/>
      <c r="L188" s="5"/>
    </row>
    <row r="189" spans="1:12" s="6" customFormat="1">
      <c r="A189" s="4"/>
      <c r="B189" s="102"/>
      <c r="C189" s="5"/>
      <c r="D189" s="1"/>
      <c r="E189" s="11"/>
      <c r="F189" s="1"/>
      <c r="G189" s="137"/>
      <c r="H189" s="5"/>
      <c r="I189" s="8"/>
      <c r="J189" s="8"/>
      <c r="K189" s="5"/>
      <c r="L189" s="5"/>
    </row>
    <row r="190" spans="1:12" s="6" customFormat="1">
      <c r="A190" s="4"/>
      <c r="B190" s="102"/>
      <c r="C190" s="5"/>
      <c r="D190" s="1"/>
      <c r="E190" s="11"/>
      <c r="F190" s="1"/>
      <c r="G190" s="137"/>
      <c r="H190" s="5"/>
      <c r="I190" s="8"/>
      <c r="J190" s="8"/>
      <c r="K190" s="5"/>
      <c r="L190" s="5"/>
    </row>
    <row r="191" spans="1:12" s="6" customFormat="1">
      <c r="A191" s="4"/>
      <c r="B191" s="102"/>
      <c r="C191" s="5"/>
      <c r="D191" s="1"/>
      <c r="E191" s="11"/>
      <c r="F191" s="1"/>
      <c r="G191" s="137"/>
      <c r="H191" s="5"/>
      <c r="I191" s="8"/>
      <c r="J191" s="8"/>
      <c r="K191" s="5"/>
      <c r="L191" s="5"/>
    </row>
    <row r="192" spans="1:12" s="6" customFormat="1">
      <c r="A192" s="4"/>
      <c r="B192" s="102"/>
      <c r="C192" s="5"/>
      <c r="D192" s="1"/>
      <c r="E192" s="11"/>
      <c r="F192" s="1"/>
      <c r="G192" s="137"/>
      <c r="H192" s="5"/>
      <c r="I192" s="8"/>
      <c r="J192" s="8"/>
      <c r="K192" s="5"/>
      <c r="L192" s="5"/>
    </row>
  </sheetData>
  <sortState xmlns:xlrd2="http://schemas.microsoft.com/office/spreadsheetml/2017/richdata2" ref="A2:L193">
    <sortCondition ref="C1"/>
  </sortState>
  <conditionalFormatting sqref="G39:G71 G1 G73:G1048576">
    <cfRule type="duplicateValues" dxfId="5" priority="12"/>
  </conditionalFormatting>
  <conditionalFormatting sqref="G14">
    <cfRule type="duplicateValues" dxfId="4" priority="8"/>
  </conditionalFormatting>
  <conditionalFormatting sqref="G72">
    <cfRule type="duplicateValues" dxfId="3" priority="7"/>
  </conditionalFormatting>
  <conditionalFormatting sqref="G15:G38 G11:G13">
    <cfRule type="duplicateValues" dxfId="2" priority="196"/>
  </conditionalFormatting>
  <pageMargins left="0.7" right="0.7" top="0.75" bottom="0.75" header="0.3" footer="0.3"/>
  <pageSetup paperSize="9" orientation="portrait" r:id="rId2"/>
  <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CF7CD1E-14F3-4AC1-9633-557D89F2597B}">
          <x14:formula1>
            <xm:f>'[Переменная часть за октябрь 2023.xlsx]значение'!#REF!</xm:f>
          </x14:formula1>
          <xm:sqref>K40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88122-461F-4B76-9291-E57788C9CF49}">
  <dimension ref="B3:AA87"/>
  <sheetViews>
    <sheetView tabSelected="1" topLeftCell="A10" zoomScale="85" zoomScaleNormal="85" workbookViewId="0">
      <selection activeCell="C58" sqref="C58:C65"/>
    </sheetView>
  </sheetViews>
  <sheetFormatPr defaultRowHeight="14.5"/>
  <cols>
    <col min="2" max="2" width="15.7265625" bestFit="1" customWidth="1"/>
    <col min="3" max="3" width="24.81640625" customWidth="1"/>
    <col min="4" max="4" width="19" customWidth="1"/>
    <col min="5" max="5" width="18.81640625" customWidth="1"/>
    <col min="6" max="6" width="17.81640625" bestFit="1" customWidth="1"/>
    <col min="7" max="7" width="17.1796875" customWidth="1"/>
    <col min="8" max="8" width="15.81640625" bestFit="1" customWidth="1"/>
    <col min="9" max="9" width="16.26953125" bestFit="1" customWidth="1"/>
    <col min="10" max="10" width="19.54296875" bestFit="1" customWidth="1"/>
    <col min="11" max="11" width="18.81640625" bestFit="1" customWidth="1"/>
    <col min="12" max="12" width="19.26953125" bestFit="1" customWidth="1"/>
    <col min="13" max="13" width="19.1796875" bestFit="1" customWidth="1"/>
    <col min="14" max="14" width="19" bestFit="1" customWidth="1"/>
    <col min="15" max="15" width="17" customWidth="1"/>
    <col min="16" max="16" width="16.26953125" bestFit="1" customWidth="1"/>
    <col min="17" max="17" width="25.1796875" bestFit="1" customWidth="1"/>
    <col min="18" max="18" width="16.7265625" customWidth="1"/>
    <col min="19" max="19" width="18.54296875" bestFit="1" customWidth="1"/>
    <col min="20" max="21" width="23.1796875" bestFit="1" customWidth="1"/>
    <col min="22" max="22" width="19.54296875" bestFit="1" customWidth="1"/>
    <col min="23" max="23" width="15.26953125" customWidth="1"/>
    <col min="24" max="24" width="15.453125" bestFit="1" customWidth="1"/>
    <col min="25" max="25" width="21.453125" bestFit="1" customWidth="1"/>
    <col min="26" max="26" width="22.1796875" bestFit="1" customWidth="1"/>
    <col min="27" max="27" width="19.54296875" bestFit="1" customWidth="1"/>
  </cols>
  <sheetData>
    <row r="3" spans="3:27">
      <c r="C3" s="246" t="s">
        <v>17</v>
      </c>
      <c r="D3" s="247"/>
      <c r="E3" s="247"/>
      <c r="F3" s="247"/>
      <c r="G3" s="247"/>
      <c r="H3" s="247"/>
      <c r="I3" s="247"/>
      <c r="J3" s="247"/>
      <c r="K3" s="247"/>
      <c r="L3" s="247"/>
      <c r="M3" s="247"/>
      <c r="N3" s="247"/>
      <c r="O3" s="247"/>
      <c r="P3" s="247"/>
      <c r="Q3" s="247"/>
      <c r="R3" s="247"/>
      <c r="S3" s="247"/>
      <c r="T3" s="247"/>
      <c r="U3" s="247"/>
      <c r="V3" s="247"/>
      <c r="W3" s="247"/>
      <c r="X3" s="247"/>
      <c r="Y3" s="247"/>
      <c r="Z3" s="247"/>
      <c r="AA3" s="247"/>
    </row>
    <row r="4" spans="3:27">
      <c r="C4" s="242" t="s">
        <v>9</v>
      </c>
      <c r="D4" s="242"/>
      <c r="E4" s="12" t="s">
        <v>72</v>
      </c>
      <c r="F4" s="12" t="s">
        <v>26</v>
      </c>
      <c r="G4" s="12" t="s">
        <v>12</v>
      </c>
      <c r="H4" s="12" t="s">
        <v>11</v>
      </c>
      <c r="I4" s="12" t="s">
        <v>13</v>
      </c>
      <c r="J4" s="12" t="s">
        <v>15</v>
      </c>
      <c r="K4" s="12" t="s">
        <v>60</v>
      </c>
      <c r="L4" s="12" t="s">
        <v>18</v>
      </c>
      <c r="M4" s="12" t="s">
        <v>16</v>
      </c>
      <c r="N4" s="13" t="s">
        <v>46</v>
      </c>
      <c r="O4" s="12" t="s">
        <v>51</v>
      </c>
      <c r="P4" s="12" t="s">
        <v>52</v>
      </c>
      <c r="Q4" s="12" t="s">
        <v>25</v>
      </c>
      <c r="R4" s="12" t="s">
        <v>14</v>
      </c>
      <c r="S4" s="12" t="s">
        <v>73</v>
      </c>
      <c r="T4" s="12" t="s">
        <v>54</v>
      </c>
      <c r="U4" s="12" t="s">
        <v>40</v>
      </c>
      <c r="V4" s="12" t="s">
        <v>41</v>
      </c>
      <c r="W4" s="12" t="s">
        <v>56</v>
      </c>
      <c r="X4" s="12" t="s">
        <v>19</v>
      </c>
      <c r="Y4" s="12" t="s">
        <v>70</v>
      </c>
      <c r="Z4" s="12" t="s">
        <v>69</v>
      </c>
      <c r="AA4" s="12" t="s">
        <v>71</v>
      </c>
    </row>
    <row r="5" spans="3:27">
      <c r="C5" s="245" t="s">
        <v>20</v>
      </c>
      <c r="D5" s="245"/>
      <c r="E5" s="176"/>
      <c r="F5" s="215">
        <v>57634.239999999998</v>
      </c>
      <c r="G5" s="215">
        <v>3484451.7510000002</v>
      </c>
      <c r="H5" s="215">
        <v>998304.70400000003</v>
      </c>
      <c r="I5" s="215">
        <v>1274983.3529999999</v>
      </c>
      <c r="J5" s="215">
        <v>65118.360999999997</v>
      </c>
      <c r="K5" s="215">
        <v>209554.19099999999</v>
      </c>
      <c r="L5" s="160"/>
      <c r="M5" s="176"/>
      <c r="N5" s="176"/>
      <c r="O5" s="160"/>
      <c r="P5" s="160"/>
      <c r="Q5" s="160"/>
      <c r="R5" s="215">
        <v>650660.16599999997</v>
      </c>
      <c r="S5" s="176"/>
      <c r="T5" s="215">
        <v>210062.69899999999</v>
      </c>
      <c r="U5" s="176"/>
      <c r="V5" s="215">
        <v>71205</v>
      </c>
      <c r="W5" s="176"/>
      <c r="X5" s="215">
        <v>1897685.3229999999</v>
      </c>
      <c r="Y5" s="176"/>
      <c r="Z5" s="176"/>
      <c r="AA5" s="161"/>
    </row>
    <row r="6" spans="3:27">
      <c r="C6" s="245" t="s">
        <v>21</v>
      </c>
      <c r="D6" s="245"/>
      <c r="E6" s="15"/>
      <c r="F6" s="15"/>
      <c r="G6" s="15"/>
      <c r="H6" s="15">
        <f>F5+G5+Z5+E5+AA5</f>
        <v>3542085.9910000004</v>
      </c>
      <c r="I6" s="176">
        <f>SUM(E5:H5,J5:AA5)</f>
        <v>7644676.4349999996</v>
      </c>
      <c r="J6" s="176">
        <f>T5+U5+K5</f>
        <v>419616.89</v>
      </c>
      <c r="K6" s="16"/>
      <c r="L6" s="16"/>
      <c r="M6" s="16"/>
      <c r="N6" s="16"/>
      <c r="O6" s="16">
        <f>L5+P5+Y5</f>
        <v>0</v>
      </c>
      <c r="P6" s="176"/>
      <c r="Q6" s="244">
        <f>Q5+V5</f>
        <v>71205</v>
      </c>
      <c r="R6" s="244"/>
      <c r="S6" s="176"/>
      <c r="T6" s="17"/>
      <c r="U6" s="17"/>
      <c r="V6" s="18">
        <v>0</v>
      </c>
      <c r="W6" s="17"/>
      <c r="X6" s="17"/>
      <c r="Y6" s="19"/>
      <c r="Z6" s="176"/>
      <c r="AA6" s="176"/>
    </row>
    <row r="7" spans="3:27">
      <c r="C7" s="243">
        <v>1.4E-2</v>
      </c>
      <c r="D7" s="20">
        <v>0.01</v>
      </c>
      <c r="E7" s="21"/>
      <c r="F7" s="21"/>
      <c r="G7" s="22"/>
      <c r="H7" s="176"/>
      <c r="I7" s="176"/>
      <c r="J7" s="176"/>
      <c r="K7" s="176"/>
      <c r="L7" s="176"/>
      <c r="M7" s="176"/>
      <c r="N7" s="176"/>
      <c r="O7" s="176">
        <f>L5*C7</f>
        <v>0</v>
      </c>
      <c r="P7" s="176"/>
      <c r="Q7" s="176"/>
      <c r="R7" s="176"/>
      <c r="S7" s="176"/>
      <c r="T7" s="17"/>
      <c r="U7" s="17"/>
      <c r="V7" s="17"/>
      <c r="W7" s="17"/>
      <c r="X7" s="17"/>
      <c r="Y7" s="19"/>
      <c r="Z7" s="176"/>
      <c r="AA7" s="176"/>
    </row>
    <row r="8" spans="3:27">
      <c r="C8" s="243"/>
      <c r="D8" s="20">
        <v>0.02</v>
      </c>
      <c r="E8" s="23"/>
      <c r="F8" s="23"/>
      <c r="G8" s="23"/>
      <c r="H8" s="21">
        <f>H6*D8</f>
        <v>70841.719820000013</v>
      </c>
      <c r="I8" s="22">
        <f>I6*D8</f>
        <v>152893.5287</v>
      </c>
      <c r="J8" s="14">
        <f>J6*D8</f>
        <v>8392.3378000000012</v>
      </c>
      <c r="K8" s="14"/>
      <c r="L8" s="14"/>
      <c r="M8" s="14"/>
      <c r="N8" s="14">
        <f>N6*D8</f>
        <v>0</v>
      </c>
      <c r="O8" s="14"/>
      <c r="P8" s="14"/>
      <c r="Q8" s="14"/>
      <c r="R8" s="14">
        <f>Q6*D8</f>
        <v>1424.1000000000001</v>
      </c>
      <c r="S8" s="14"/>
      <c r="T8" s="17"/>
      <c r="U8" s="17"/>
      <c r="V8" s="18">
        <f>V6*D8</f>
        <v>0</v>
      </c>
      <c r="W8" s="17"/>
      <c r="X8" s="17"/>
      <c r="Y8" s="19"/>
      <c r="Z8" s="14"/>
      <c r="AA8" s="117"/>
    </row>
    <row r="9" spans="3:27">
      <c r="C9" s="243">
        <v>3.5000000000000003E-2</v>
      </c>
      <c r="D9" s="20">
        <v>0.03</v>
      </c>
      <c r="E9" s="23"/>
      <c r="F9" s="23"/>
      <c r="G9" s="23"/>
      <c r="H9" s="23"/>
      <c r="I9" s="23"/>
      <c r="J9" s="14"/>
      <c r="K9" s="14"/>
      <c r="L9" s="14"/>
      <c r="M9" s="14"/>
      <c r="N9" s="14"/>
      <c r="O9" s="14"/>
      <c r="P9" s="14"/>
      <c r="Q9" s="14"/>
      <c r="R9" s="14"/>
      <c r="S9" s="14"/>
      <c r="T9" s="17"/>
      <c r="U9" s="17"/>
      <c r="V9" s="17"/>
      <c r="W9" s="17"/>
      <c r="X9" s="17"/>
      <c r="Y9" s="19"/>
      <c r="Z9" s="14"/>
      <c r="AA9" s="117"/>
    </row>
    <row r="10" spans="3:27">
      <c r="C10" s="243"/>
      <c r="D10" s="20">
        <v>0.05</v>
      </c>
      <c r="E10" s="21">
        <f>E5*D10</f>
        <v>0</v>
      </c>
      <c r="F10" s="21">
        <f>F5*D10</f>
        <v>2881.712</v>
      </c>
      <c r="G10" s="21">
        <f>G5*D10</f>
        <v>174222.58755000003</v>
      </c>
      <c r="H10" s="21">
        <f>H5*D10</f>
        <v>49915.235200000003</v>
      </c>
      <c r="I10" s="21">
        <f>I5*D10</f>
        <v>63749.167649999996</v>
      </c>
      <c r="J10" s="21">
        <f>J5*D10</f>
        <v>3255.9180500000002</v>
      </c>
      <c r="K10" s="21">
        <f>K5*$D$10</f>
        <v>10477.70955</v>
      </c>
      <c r="L10" s="21">
        <f>L5*D10</f>
        <v>0</v>
      </c>
      <c r="M10" s="21">
        <f>M5*D10</f>
        <v>0</v>
      </c>
      <c r="N10" s="21">
        <f>N5*$D$10</f>
        <v>0</v>
      </c>
      <c r="O10" s="21">
        <f>(O5*D10)+(O6*D8)</f>
        <v>0</v>
      </c>
      <c r="P10" s="21">
        <f>P5*D10</f>
        <v>0</v>
      </c>
      <c r="Q10" s="21">
        <f>Q5*D10</f>
        <v>0</v>
      </c>
      <c r="R10" s="21">
        <f>R5*D10</f>
        <v>32533.008300000001</v>
      </c>
      <c r="S10" s="21">
        <f>S5*D10</f>
        <v>0</v>
      </c>
      <c r="T10" s="21">
        <f>T5*D10</f>
        <v>10503.13495</v>
      </c>
      <c r="U10" s="21">
        <f>U5*$C$9</f>
        <v>0</v>
      </c>
      <c r="V10" s="21">
        <f>V5*D10</f>
        <v>3560.25</v>
      </c>
      <c r="W10" s="21"/>
      <c r="X10" s="21">
        <f>X5*D10</f>
        <v>94884.266149999996</v>
      </c>
      <c r="Y10" s="19"/>
      <c r="Z10" s="21">
        <f>Z5*D10</f>
        <v>0</v>
      </c>
      <c r="AA10" s="21"/>
    </row>
    <row r="11" spans="3:27">
      <c r="C11" s="24" t="s">
        <v>22</v>
      </c>
      <c r="D11" s="25">
        <v>0.11</v>
      </c>
      <c r="E11" s="26">
        <f>E10*$D$11</f>
        <v>0</v>
      </c>
      <c r="F11" s="26">
        <f>F10*D11</f>
        <v>316.98831999999999</v>
      </c>
      <c r="G11" s="26">
        <f>G10*D11</f>
        <v>19164.484630500003</v>
      </c>
      <c r="H11" s="26">
        <f>(H10*D11)+(H8*D11)+(H9*D11)</f>
        <v>13283.265052200002</v>
      </c>
      <c r="I11" s="26">
        <f>(I10*D11)+(I8*D11)+(I7*D11)</f>
        <v>23830.696598499999</v>
      </c>
      <c r="J11" s="26">
        <f>(J10*D11)+(J8*D11)</f>
        <v>1281.3081435000001</v>
      </c>
      <c r="K11" s="26">
        <f t="shared" ref="K11:Q11" si="0">K10*$D$11</f>
        <v>1152.5480505</v>
      </c>
      <c r="L11" s="26">
        <f>L10*$D$11</f>
        <v>0</v>
      </c>
      <c r="M11" s="26">
        <f t="shared" si="0"/>
        <v>0</v>
      </c>
      <c r="N11" s="26">
        <f>(N10*$D$11)+(N8*D11)</f>
        <v>0</v>
      </c>
      <c r="O11" s="26">
        <f t="shared" si="0"/>
        <v>0</v>
      </c>
      <c r="P11" s="26">
        <f t="shared" si="0"/>
        <v>0</v>
      </c>
      <c r="Q11" s="26">
        <f t="shared" si="0"/>
        <v>0</v>
      </c>
      <c r="R11" s="26">
        <f>(R10+R8)*$D$11</f>
        <v>3735.2819129999998</v>
      </c>
      <c r="S11" s="26">
        <f>S10*$D$11</f>
        <v>0</v>
      </c>
      <c r="T11" s="26">
        <f>T10*$D$11</f>
        <v>1155.3448444999999</v>
      </c>
      <c r="U11" s="26">
        <f t="shared" ref="U11:Y11" si="1">U10*$D$11</f>
        <v>0</v>
      </c>
      <c r="V11" s="26">
        <f>V10*$D$11</f>
        <v>391.6275</v>
      </c>
      <c r="W11" s="26">
        <f t="shared" si="1"/>
        <v>0</v>
      </c>
      <c r="X11" s="26">
        <f>X10*$D$11</f>
        <v>10437.269276499999</v>
      </c>
      <c r="Y11" s="26">
        <f t="shared" si="1"/>
        <v>0</v>
      </c>
      <c r="Z11" s="26">
        <f>Z10*$D$11</f>
        <v>0</v>
      </c>
      <c r="AA11" s="26">
        <f>AA10*$D$11</f>
        <v>0</v>
      </c>
    </row>
    <row r="12" spans="3:27">
      <c r="C12" s="242" t="s">
        <v>23</v>
      </c>
      <c r="D12" s="242"/>
      <c r="E12" s="27"/>
      <c r="F12" s="27">
        <v>0</v>
      </c>
      <c r="G12" s="27">
        <f>G10-G11</f>
        <v>155058.10291950003</v>
      </c>
      <c r="H12" s="27">
        <f>(H8+H10+H7)-H11</f>
        <v>107473.68996780002</v>
      </c>
      <c r="I12" s="27">
        <f>(I8+I10+I7)-I11</f>
        <v>192811.99975149997</v>
      </c>
      <c r="J12" s="27">
        <f>J8+J10-J11</f>
        <v>10366.947706500001</v>
      </c>
      <c r="K12" s="27">
        <v>0</v>
      </c>
      <c r="L12" s="27">
        <v>0</v>
      </c>
      <c r="M12" s="27">
        <v>0</v>
      </c>
      <c r="N12" s="27">
        <f>(N10+N8)-N11</f>
        <v>0</v>
      </c>
      <c r="O12" s="27">
        <f>O10-O11</f>
        <v>0</v>
      </c>
      <c r="P12" s="27">
        <v>0</v>
      </c>
      <c r="Q12" s="27"/>
      <c r="R12" s="27">
        <v>0</v>
      </c>
      <c r="S12" s="27">
        <v>0</v>
      </c>
      <c r="T12" s="27"/>
      <c r="U12" s="27">
        <v>0</v>
      </c>
      <c r="V12" s="27"/>
      <c r="W12" s="27">
        <v>0</v>
      </c>
      <c r="X12" s="27"/>
      <c r="Y12" s="27"/>
      <c r="Z12" s="27"/>
      <c r="AA12" s="27">
        <f>AA10-AA11</f>
        <v>0</v>
      </c>
    </row>
    <row r="13" spans="3:27">
      <c r="C13" s="28"/>
      <c r="D13" s="28"/>
      <c r="E13" s="28"/>
      <c r="F13" s="28"/>
      <c r="G13" s="28"/>
      <c r="H13" s="28"/>
      <c r="I13" s="28"/>
    </row>
    <row r="14" spans="3:27" s="70" customFormat="1">
      <c r="C14" s="246" t="s">
        <v>47</v>
      </c>
      <c r="D14" s="247"/>
      <c r="E14" s="247"/>
      <c r="F14" s="247"/>
      <c r="G14" s="247"/>
      <c r="H14" s="247"/>
      <c r="I14" s="247"/>
      <c r="J14" s="247"/>
      <c r="K14" s="247"/>
      <c r="L14" s="247"/>
      <c r="M14" s="247"/>
      <c r="N14" s="247"/>
      <c r="O14" s="247"/>
      <c r="P14" s="247"/>
      <c r="Q14" s="247"/>
      <c r="R14" s="247"/>
      <c r="S14" s="247"/>
      <c r="T14" s="247"/>
      <c r="U14" s="247"/>
      <c r="V14" s="247"/>
      <c r="W14" s="247"/>
      <c r="X14" s="247"/>
      <c r="Y14" s="247"/>
      <c r="Z14" s="247"/>
      <c r="AA14" s="247"/>
    </row>
    <row r="15" spans="3:27" s="70" customFormat="1">
      <c r="C15" s="242" t="s">
        <v>9</v>
      </c>
      <c r="D15" s="242"/>
      <c r="E15" s="12" t="s">
        <v>72</v>
      </c>
      <c r="F15" s="12" t="s">
        <v>26</v>
      </c>
      <c r="G15" s="12" t="s">
        <v>12</v>
      </c>
      <c r="H15" s="12" t="s">
        <v>11</v>
      </c>
      <c r="I15" s="12" t="s">
        <v>13</v>
      </c>
      <c r="J15" s="12" t="s">
        <v>15</v>
      </c>
      <c r="K15" s="12" t="s">
        <v>60</v>
      </c>
      <c r="L15" s="12" t="s">
        <v>18</v>
      </c>
      <c r="M15" s="12" t="s">
        <v>16</v>
      </c>
      <c r="N15" s="13" t="s">
        <v>46</v>
      </c>
      <c r="O15" s="12" t="s">
        <v>51</v>
      </c>
      <c r="P15" s="12" t="s">
        <v>52</v>
      </c>
      <c r="Q15" s="12" t="s">
        <v>25</v>
      </c>
      <c r="R15" s="12" t="s">
        <v>14</v>
      </c>
      <c r="S15" s="12" t="s">
        <v>73</v>
      </c>
      <c r="T15" s="12" t="s">
        <v>54</v>
      </c>
      <c r="U15" s="12" t="s">
        <v>40</v>
      </c>
      <c r="V15" s="12" t="s">
        <v>41</v>
      </c>
      <c r="W15" s="12" t="s">
        <v>56</v>
      </c>
      <c r="X15" s="12" t="s">
        <v>19</v>
      </c>
      <c r="Y15" s="12" t="s">
        <v>70</v>
      </c>
      <c r="Z15" s="12" t="s">
        <v>69</v>
      </c>
      <c r="AA15" s="12" t="s">
        <v>71</v>
      </c>
    </row>
    <row r="16" spans="3:27" s="70" customFormat="1">
      <c r="C16" s="245" t="s">
        <v>20</v>
      </c>
      <c r="D16" s="245"/>
      <c r="E16" s="176"/>
      <c r="F16" s="215">
        <v>8163708.0777200004</v>
      </c>
      <c r="G16" s="215">
        <v>17039907.775024999</v>
      </c>
      <c r="H16" s="215">
        <v>21017223.240075</v>
      </c>
      <c r="I16" s="215">
        <v>31002077.779610001</v>
      </c>
      <c r="J16" s="215">
        <v>6540068.1452899994</v>
      </c>
      <c r="K16" s="215">
        <v>870825.60403999989</v>
      </c>
      <c r="L16" s="215">
        <v>4504853.1821600003</v>
      </c>
      <c r="M16" s="160"/>
      <c r="N16" s="176"/>
      <c r="O16" s="215">
        <v>2011934.66206</v>
      </c>
      <c r="P16" s="160"/>
      <c r="Q16" s="215">
        <v>10635072.271300001</v>
      </c>
      <c r="R16" s="215">
        <v>8176089.6144100018</v>
      </c>
      <c r="S16" s="176"/>
      <c r="T16" s="215">
        <v>2831193.7588099991</v>
      </c>
      <c r="U16" s="176"/>
      <c r="V16" s="160">
        <v>5346720</v>
      </c>
      <c r="W16" s="215">
        <v>1984073.51</v>
      </c>
      <c r="X16" s="215">
        <v>11525032.191604998</v>
      </c>
      <c r="Y16" s="176"/>
      <c r="Z16" s="176"/>
      <c r="AA16" s="160"/>
    </row>
    <row r="17" spans="3:27" s="70" customFormat="1">
      <c r="C17" s="245" t="s">
        <v>21</v>
      </c>
      <c r="D17" s="245"/>
      <c r="E17" s="15"/>
      <c r="F17" s="15"/>
      <c r="G17" s="15"/>
      <c r="H17" s="15">
        <f>F16+G16+Z16+AA16</f>
        <v>25203615.852745</v>
      </c>
      <c r="I17" s="176">
        <f>SUM(E16:H16,J16:AA16)</f>
        <v>100646702.03249501</v>
      </c>
      <c r="J17" s="176">
        <f>T16+U16+K16</f>
        <v>3702019.3628499992</v>
      </c>
      <c r="K17" s="16"/>
      <c r="L17" s="16"/>
      <c r="M17" s="16"/>
      <c r="N17" s="16">
        <f>W16</f>
        <v>1984073.51</v>
      </c>
      <c r="O17" s="16">
        <f>L16+P16</f>
        <v>4504853.1821600003</v>
      </c>
      <c r="P17" s="176"/>
      <c r="Q17" s="244">
        <f>Q16+V16</f>
        <v>15981792.271300001</v>
      </c>
      <c r="R17" s="244"/>
      <c r="S17" s="176"/>
      <c r="T17" s="17"/>
      <c r="U17" s="17"/>
      <c r="V17" s="18">
        <v>0</v>
      </c>
      <c r="W17" s="17"/>
      <c r="X17" s="17"/>
      <c r="Y17" s="19"/>
      <c r="Z17" s="176"/>
      <c r="AA17" s="176"/>
    </row>
    <row r="18" spans="3:27" s="70" customFormat="1">
      <c r="C18" s="243">
        <v>1.4E-2</v>
      </c>
      <c r="D18" s="20">
        <v>0.01</v>
      </c>
      <c r="E18" s="21"/>
      <c r="F18" s="21"/>
      <c r="G18" s="22"/>
      <c r="H18" s="85"/>
      <c r="I18" s="85"/>
      <c r="J18" s="85"/>
      <c r="K18" s="85"/>
      <c r="L18" s="85"/>
      <c r="M18" s="85"/>
      <c r="N18" s="85"/>
      <c r="O18" s="85"/>
      <c r="P18" s="85"/>
      <c r="Q18" s="85"/>
      <c r="R18" s="85"/>
      <c r="S18" s="85"/>
      <c r="T18" s="17"/>
      <c r="U18" s="17"/>
      <c r="V18" s="17"/>
      <c r="W18" s="17"/>
      <c r="X18" s="17"/>
      <c r="Y18" s="19"/>
      <c r="Z18" s="85"/>
      <c r="AA18" s="117"/>
    </row>
    <row r="19" spans="3:27" s="70" customFormat="1">
      <c r="C19" s="243"/>
      <c r="D19" s="20">
        <v>0.02</v>
      </c>
      <c r="E19" s="23"/>
      <c r="F19" s="23"/>
      <c r="G19" s="23"/>
      <c r="H19" s="21">
        <f>H17*D19</f>
        <v>504072.31705489999</v>
      </c>
      <c r="I19" s="22">
        <f>I17*D19</f>
        <v>2012934.0406499002</v>
      </c>
      <c r="J19" s="85">
        <f>J17*D19</f>
        <v>74040.38725699998</v>
      </c>
      <c r="K19" s="85"/>
      <c r="L19" s="85"/>
      <c r="M19" s="85"/>
      <c r="N19" s="85">
        <f>N17*D19</f>
        <v>39681.470200000003</v>
      </c>
      <c r="O19" s="85">
        <f>O17*D19</f>
        <v>90097.063643200003</v>
      </c>
      <c r="P19" s="85"/>
      <c r="Q19" s="85"/>
      <c r="R19" s="85">
        <f>Q17*D19</f>
        <v>319635.84542600001</v>
      </c>
      <c r="S19" s="85"/>
      <c r="T19" s="17"/>
      <c r="U19" s="17"/>
      <c r="V19" s="18">
        <f>V17*D19</f>
        <v>0</v>
      </c>
      <c r="W19" s="17"/>
      <c r="X19" s="17"/>
      <c r="Y19" s="19"/>
      <c r="Z19" s="85"/>
      <c r="AA19" s="117"/>
    </row>
    <row r="20" spans="3:27" s="70" customFormat="1">
      <c r="C20" s="243">
        <v>3.5000000000000003E-2</v>
      </c>
      <c r="D20" s="20">
        <v>0.03</v>
      </c>
      <c r="E20" s="23"/>
      <c r="F20" s="23"/>
      <c r="G20" s="23"/>
      <c r="H20" s="23"/>
      <c r="I20" s="23"/>
      <c r="J20" s="85"/>
      <c r="K20" s="85"/>
      <c r="L20" s="85"/>
      <c r="M20" s="85"/>
      <c r="N20" s="85"/>
      <c r="O20" s="85"/>
      <c r="P20" s="85"/>
      <c r="Q20" s="85"/>
      <c r="R20" s="85"/>
      <c r="S20" s="85"/>
      <c r="T20" s="17"/>
      <c r="U20" s="17"/>
      <c r="V20" s="17"/>
      <c r="W20" s="17"/>
      <c r="X20" s="17"/>
      <c r="Y20" s="19"/>
      <c r="Z20" s="85"/>
      <c r="AA20" s="117"/>
    </row>
    <row r="21" spans="3:27" s="70" customFormat="1">
      <c r="C21" s="243"/>
      <c r="D21" s="20">
        <v>0.05</v>
      </c>
      <c r="E21" s="21">
        <f>E16*D21</f>
        <v>0</v>
      </c>
      <c r="F21" s="21">
        <f>F16*D21</f>
        <v>408185.40388600004</v>
      </c>
      <c r="G21" s="21">
        <f>G16*D21</f>
        <v>851995.38875124999</v>
      </c>
      <c r="H21" s="21">
        <f>H16*D21</f>
        <v>1050861.16200375</v>
      </c>
      <c r="I21" s="21">
        <f>I16*D21</f>
        <v>1550103.8889805002</v>
      </c>
      <c r="J21" s="21">
        <f>J16*D21</f>
        <v>327003.40726449998</v>
      </c>
      <c r="K21" s="21">
        <f>K16*$D$10</f>
        <v>43541.280201999994</v>
      </c>
      <c r="L21" s="21">
        <f>L16*D21</f>
        <v>225242.65910800002</v>
      </c>
      <c r="M21" s="21">
        <f>M16*D21</f>
        <v>0</v>
      </c>
      <c r="N21" s="21">
        <f>N16*$D$10</f>
        <v>0</v>
      </c>
      <c r="O21" s="21">
        <f>(O16*D21)+(O17*D19)</f>
        <v>190693.79674620001</v>
      </c>
      <c r="P21" s="21">
        <f>P16*D21</f>
        <v>0</v>
      </c>
      <c r="Q21" s="21">
        <f>Q16*D21</f>
        <v>531753.61356500012</v>
      </c>
      <c r="R21" s="21">
        <f>R16*D21</f>
        <v>408804.48072050011</v>
      </c>
      <c r="S21" s="21">
        <f>S16*D21</f>
        <v>0</v>
      </c>
      <c r="T21" s="21">
        <f>T16*D21</f>
        <v>141559.68794049995</v>
      </c>
      <c r="U21" s="21">
        <f>U16*$C$9</f>
        <v>0</v>
      </c>
      <c r="V21" s="21">
        <f>V16*D21</f>
        <v>267336</v>
      </c>
      <c r="W21" s="21">
        <f>W16*D21</f>
        <v>99203.675500000012</v>
      </c>
      <c r="X21" s="21">
        <f>X16*D21</f>
        <v>576251.60958024987</v>
      </c>
      <c r="Y21" s="19">
        <f>Y16*D21</f>
        <v>0</v>
      </c>
      <c r="Z21" s="21">
        <f>Z16*D21</f>
        <v>0</v>
      </c>
      <c r="AA21" s="21"/>
    </row>
    <row r="22" spans="3:27" s="70" customFormat="1">
      <c r="C22" s="24" t="s">
        <v>22</v>
      </c>
      <c r="D22" s="25">
        <v>0.11</v>
      </c>
      <c r="E22" s="26">
        <f>E21*$D$11</f>
        <v>0</v>
      </c>
      <c r="F22" s="26">
        <f>F21*D22</f>
        <v>44900.394427460007</v>
      </c>
      <c r="G22" s="26">
        <f>G21*D22</f>
        <v>93719.492762637499</v>
      </c>
      <c r="H22" s="26">
        <f>(H21*D22)+(H19*D22)+(H20*D22)</f>
        <v>171042.68269645149</v>
      </c>
      <c r="I22" s="26">
        <f>(I21*D22)+(I19*D22)+(I18*D22)</f>
        <v>391934.17225934402</v>
      </c>
      <c r="J22" s="26">
        <f>(J21*D22)+(J19*D22)</f>
        <v>44114.817397364997</v>
      </c>
      <c r="K22" s="26">
        <f t="shared" ref="K22" si="2">K21*$D$11</f>
        <v>4789.5408222199994</v>
      </c>
      <c r="L22" s="26">
        <f>L21*$D$11</f>
        <v>24776.692501880003</v>
      </c>
      <c r="M22" s="26">
        <f t="shared" ref="M22" si="3">M21*$D$11</f>
        <v>0</v>
      </c>
      <c r="N22" s="26">
        <f>(N21*$D$11)+(N19*D22)</f>
        <v>4364.961722</v>
      </c>
      <c r="O22" s="26">
        <f>(O21*$D$11)+(O18*D22)</f>
        <v>20976.317642082002</v>
      </c>
      <c r="P22" s="26">
        <f t="shared" ref="P22:Q22" si="4">P21*$D$11</f>
        <v>0</v>
      </c>
      <c r="Q22" s="26">
        <f t="shared" si="4"/>
        <v>58492.897492150012</v>
      </c>
      <c r="R22" s="26">
        <f>(R21+R19)*$D$11</f>
        <v>80128.435876115022</v>
      </c>
      <c r="S22" s="26">
        <f>S21*$D$11</f>
        <v>0</v>
      </c>
      <c r="T22" s="26">
        <f>T21*$D$11</f>
        <v>15571.565673454994</v>
      </c>
      <c r="U22" s="26">
        <f t="shared" ref="U22" si="5">U21*$D$11</f>
        <v>0</v>
      </c>
      <c r="V22" s="26">
        <f>V21*$D$11</f>
        <v>29406.959999999999</v>
      </c>
      <c r="W22" s="26">
        <f>W21*$D$11</f>
        <v>10912.404305000002</v>
      </c>
      <c r="X22" s="26">
        <f>X21*$D$11</f>
        <v>63387.677053827487</v>
      </c>
      <c r="Y22" s="26">
        <f t="shared" ref="Y22" si="6">Y21*$D$11</f>
        <v>0</v>
      </c>
      <c r="Z22" s="26">
        <f>Z21*$D$11</f>
        <v>0</v>
      </c>
      <c r="AA22" s="26">
        <f>AA21*$D$11</f>
        <v>0</v>
      </c>
    </row>
    <row r="23" spans="3:27" s="70" customFormat="1">
      <c r="C23" s="242" t="s">
        <v>23</v>
      </c>
      <c r="D23" s="242"/>
      <c r="E23" s="27"/>
      <c r="F23" s="27">
        <v>0</v>
      </c>
      <c r="G23" s="27">
        <f>G21-G22</f>
        <v>758275.89598861244</v>
      </c>
      <c r="H23" s="27">
        <f>(H19+H21+H18)-H22</f>
        <v>1383890.7963621984</v>
      </c>
      <c r="I23" s="27">
        <f>(I19+I21+I18)-I22</f>
        <v>3171103.7573710568</v>
      </c>
      <c r="J23" s="27">
        <f>(J19+J21+J18)-J22</f>
        <v>356928.97712413495</v>
      </c>
      <c r="K23" s="27"/>
      <c r="L23" s="27">
        <v>0</v>
      </c>
      <c r="M23" s="27">
        <v>0</v>
      </c>
      <c r="N23" s="27">
        <f>(N21+N19)-N22</f>
        <v>35316.508478000003</v>
      </c>
      <c r="O23" s="27">
        <f>(O21+O18)-O22</f>
        <v>169717.47910411801</v>
      </c>
      <c r="P23" s="27">
        <v>0</v>
      </c>
      <c r="Q23" s="27"/>
      <c r="R23" s="27">
        <v>0</v>
      </c>
      <c r="S23" s="27">
        <v>0</v>
      </c>
      <c r="T23" s="27"/>
      <c r="U23" s="27">
        <v>0</v>
      </c>
      <c r="V23" s="27"/>
      <c r="W23" s="27">
        <f>W21-W22</f>
        <v>88291.271195000008</v>
      </c>
      <c r="X23" s="27"/>
      <c r="Y23" s="27">
        <f>Y21-Y22</f>
        <v>0</v>
      </c>
      <c r="Z23" s="27">
        <f>Z21-Z22</f>
        <v>0</v>
      </c>
      <c r="AA23" s="27">
        <f>AA21-AA22</f>
        <v>0</v>
      </c>
    </row>
    <row r="24" spans="3:27" s="70" customFormat="1">
      <c r="C24" s="28"/>
      <c r="D24" s="28"/>
      <c r="E24" s="28"/>
      <c r="F24" s="28"/>
      <c r="G24" s="28"/>
      <c r="H24" s="28"/>
      <c r="I24" s="28"/>
    </row>
    <row r="25" spans="3:27">
      <c r="C25" s="246" t="s">
        <v>24</v>
      </c>
      <c r="D25" s="247"/>
      <c r="E25" s="247"/>
      <c r="F25" s="247"/>
      <c r="G25" s="247"/>
      <c r="H25" s="247"/>
      <c r="I25" s="247"/>
      <c r="J25" s="247"/>
      <c r="K25" s="247"/>
      <c r="L25" s="247"/>
      <c r="M25" s="247"/>
      <c r="N25" s="247"/>
      <c r="O25" s="247"/>
      <c r="P25" s="247"/>
      <c r="Q25" s="247"/>
      <c r="R25" s="247"/>
      <c r="S25" s="247"/>
      <c r="T25" s="247"/>
      <c r="U25" s="247"/>
      <c r="V25" s="247"/>
      <c r="W25" s="247"/>
      <c r="X25" s="247"/>
      <c r="Y25" s="247"/>
      <c r="Z25" s="247"/>
      <c r="AA25" s="247"/>
    </row>
    <row r="26" spans="3:27">
      <c r="C26" s="242" t="s">
        <v>9</v>
      </c>
      <c r="D26" s="242"/>
      <c r="E26" s="12" t="s">
        <v>72</v>
      </c>
      <c r="F26" s="12" t="s">
        <v>26</v>
      </c>
      <c r="G26" s="12" t="s">
        <v>12</v>
      </c>
      <c r="H26" s="12" t="s">
        <v>11</v>
      </c>
      <c r="I26" s="12" t="s">
        <v>13</v>
      </c>
      <c r="J26" s="12" t="s">
        <v>15</v>
      </c>
      <c r="K26" s="12" t="s">
        <v>60</v>
      </c>
      <c r="L26" s="12" t="s">
        <v>18</v>
      </c>
      <c r="M26" s="12" t="s">
        <v>16</v>
      </c>
      <c r="N26" s="13" t="s">
        <v>46</v>
      </c>
      <c r="O26" s="12" t="s">
        <v>51</v>
      </c>
      <c r="P26" s="12" t="s">
        <v>52</v>
      </c>
      <c r="Q26" s="12" t="s">
        <v>25</v>
      </c>
      <c r="R26" s="12" t="s">
        <v>14</v>
      </c>
      <c r="S26" s="12" t="s">
        <v>73</v>
      </c>
      <c r="T26" s="12" t="s">
        <v>54</v>
      </c>
      <c r="U26" s="12" t="s">
        <v>40</v>
      </c>
      <c r="V26" s="12" t="s">
        <v>41</v>
      </c>
      <c r="W26" s="12" t="s">
        <v>56</v>
      </c>
      <c r="X26" s="13" t="s">
        <v>19</v>
      </c>
      <c r="Y26" s="12" t="s">
        <v>70</v>
      </c>
      <c r="Z26" s="13" t="s">
        <v>58</v>
      </c>
      <c r="AA26" s="12" t="s">
        <v>71</v>
      </c>
    </row>
    <row r="27" spans="3:27">
      <c r="C27" s="245" t="s">
        <v>20</v>
      </c>
      <c r="D27" s="245"/>
      <c r="E27" s="176"/>
      <c r="F27" s="176"/>
      <c r="G27" s="176"/>
      <c r="H27" s="176"/>
      <c r="I27" s="176"/>
      <c r="J27" s="160"/>
      <c r="K27" s="176"/>
      <c r="L27" s="176"/>
      <c r="M27" s="176"/>
      <c r="N27" s="176"/>
      <c r="O27" s="160"/>
      <c r="P27" s="176"/>
      <c r="Q27" s="176"/>
      <c r="R27" s="160"/>
      <c r="S27" s="176"/>
      <c r="T27" s="176"/>
      <c r="U27" s="176"/>
      <c r="V27" s="176"/>
      <c r="W27" s="176"/>
      <c r="X27" s="160"/>
      <c r="Y27" s="176"/>
      <c r="Z27" s="176"/>
      <c r="AA27" s="176"/>
    </row>
    <row r="28" spans="3:27">
      <c r="C28" s="245" t="s">
        <v>21</v>
      </c>
      <c r="D28" s="245"/>
      <c r="E28" s="15"/>
      <c r="F28" s="15"/>
      <c r="G28" s="15"/>
      <c r="H28" s="15">
        <f>E27+F27+G27+K27</f>
        <v>0</v>
      </c>
      <c r="I28" s="176">
        <f>SUM(E27:Z27)</f>
        <v>0</v>
      </c>
      <c r="J28" s="176">
        <f>U27+T27</f>
        <v>0</v>
      </c>
      <c r="K28" s="16">
        <v>0</v>
      </c>
      <c r="L28" s="16"/>
      <c r="M28" s="16"/>
      <c r="N28" s="16"/>
      <c r="O28" s="16">
        <f>L27+P27+Y27</f>
        <v>0</v>
      </c>
      <c r="P28" s="176"/>
      <c r="Q28" s="176"/>
      <c r="R28" s="16">
        <f>Q27+V27</f>
        <v>0</v>
      </c>
      <c r="S28" s="16"/>
      <c r="T28" s="17"/>
      <c r="U28" s="17"/>
      <c r="V28" s="17"/>
      <c r="W28" s="17"/>
      <c r="X28" s="17"/>
      <c r="Y28" s="19"/>
      <c r="Z28" s="176"/>
      <c r="AA28" s="176"/>
    </row>
    <row r="29" spans="3:27">
      <c r="C29" s="243">
        <v>1.4E-2</v>
      </c>
      <c r="D29" s="20">
        <v>0.01</v>
      </c>
      <c r="E29" s="21"/>
      <c r="F29" s="21"/>
      <c r="G29" s="22"/>
      <c r="H29" s="176"/>
      <c r="I29" s="176"/>
      <c r="J29" s="176"/>
      <c r="K29" s="176"/>
      <c r="L29" s="176"/>
      <c r="M29" s="176"/>
      <c r="N29" s="176"/>
      <c r="O29" s="176">
        <f>K28*C29</f>
        <v>0</v>
      </c>
      <c r="P29" s="176"/>
      <c r="Q29" s="176"/>
      <c r="R29" s="176"/>
      <c r="S29" s="176"/>
      <c r="T29" s="17"/>
      <c r="U29" s="17"/>
      <c r="V29" s="17"/>
      <c r="W29" s="17"/>
      <c r="X29" s="17"/>
      <c r="Y29" s="19"/>
      <c r="Z29" s="176"/>
      <c r="AA29" s="176"/>
    </row>
    <row r="30" spans="3:27">
      <c r="C30" s="243"/>
      <c r="D30" s="20">
        <v>0.02</v>
      </c>
      <c r="E30" s="23"/>
      <c r="F30" s="23"/>
      <c r="G30" s="23"/>
      <c r="H30" s="21">
        <f>H28*D30</f>
        <v>0</v>
      </c>
      <c r="I30" s="22">
        <f>I28*D30</f>
        <v>0</v>
      </c>
      <c r="J30" s="14">
        <f>J28*D30</f>
        <v>0</v>
      </c>
      <c r="K30" s="14"/>
      <c r="L30" s="14"/>
      <c r="M30" s="14"/>
      <c r="N30" s="14">
        <f>N28*D30</f>
        <v>0</v>
      </c>
      <c r="O30" s="14"/>
      <c r="P30" s="14"/>
      <c r="Q30" s="14"/>
      <c r="R30" s="14">
        <f>R28*D30</f>
        <v>0</v>
      </c>
      <c r="S30" s="14"/>
      <c r="T30" s="17"/>
      <c r="U30" s="17"/>
      <c r="V30" s="17"/>
      <c r="W30" s="17"/>
      <c r="X30" s="17"/>
      <c r="Y30" s="19"/>
      <c r="Z30" s="14"/>
      <c r="AA30" s="117"/>
    </row>
    <row r="31" spans="3:27">
      <c r="C31" s="243">
        <v>3.5000000000000003E-2</v>
      </c>
      <c r="D31" s="20">
        <v>0.03</v>
      </c>
      <c r="E31" s="23"/>
      <c r="F31" s="23"/>
      <c r="G31" s="23"/>
      <c r="H31" s="23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7"/>
      <c r="U31" s="17"/>
      <c r="V31" s="17"/>
      <c r="W31" s="17"/>
      <c r="X31" s="17"/>
      <c r="Y31" s="19"/>
      <c r="Z31" s="14"/>
      <c r="AA31" s="117"/>
    </row>
    <row r="32" spans="3:27">
      <c r="C32" s="243"/>
      <c r="D32" s="20">
        <v>0.05</v>
      </c>
      <c r="E32" s="14">
        <f>E27*D32</f>
        <v>0</v>
      </c>
      <c r="F32" s="14">
        <f>F27*D32</f>
        <v>0</v>
      </c>
      <c r="G32" s="14">
        <f>G27*D32</f>
        <v>0</v>
      </c>
      <c r="H32" s="14"/>
      <c r="I32" s="14">
        <f>I27*D32</f>
        <v>0</v>
      </c>
      <c r="J32" s="14">
        <f>J27*D32</f>
        <v>0</v>
      </c>
      <c r="K32" s="14">
        <f>K27*D32</f>
        <v>0</v>
      </c>
      <c r="L32" s="14"/>
      <c r="M32" s="14">
        <f>M27*D32</f>
        <v>0</v>
      </c>
      <c r="N32" s="14">
        <f>N27*D32</f>
        <v>0</v>
      </c>
      <c r="O32" s="14">
        <f>O27*$C$31</f>
        <v>0</v>
      </c>
      <c r="P32" s="14">
        <f>P27*D32</f>
        <v>0</v>
      </c>
      <c r="Q32" s="14">
        <f>Q27*D32</f>
        <v>0</v>
      </c>
      <c r="R32" s="14">
        <f>R27*D32</f>
        <v>0</v>
      </c>
      <c r="S32" s="14">
        <f t="shared" ref="S32" si="7">S27*$C$31</f>
        <v>0</v>
      </c>
      <c r="T32" s="14">
        <f>T27*D32</f>
        <v>0</v>
      </c>
      <c r="U32" s="14">
        <f>U27*D32</f>
        <v>0</v>
      </c>
      <c r="V32" s="14">
        <f>V27*D32</f>
        <v>0</v>
      </c>
      <c r="W32" s="14"/>
      <c r="X32" s="14">
        <f>X27*D32</f>
        <v>0</v>
      </c>
      <c r="Y32" s="19"/>
      <c r="Z32" s="21">
        <f>Z27*D32</f>
        <v>0</v>
      </c>
      <c r="AA32" s="21">
        <f>AA27*E32</f>
        <v>0</v>
      </c>
    </row>
    <row r="33" spans="2:27">
      <c r="C33" s="24" t="s">
        <v>22</v>
      </c>
      <c r="D33" s="25">
        <v>0.11</v>
      </c>
      <c r="E33" s="29">
        <f>E32*D33</f>
        <v>0</v>
      </c>
      <c r="F33" s="29">
        <f>F32*D33</f>
        <v>0</v>
      </c>
      <c r="G33" s="29">
        <f>G32*D33</f>
        <v>0</v>
      </c>
      <c r="H33" s="29">
        <f>H29*D33</f>
        <v>0</v>
      </c>
      <c r="I33" s="26">
        <f>(I32*D33)+(I30*D33)+(I29*D33)</f>
        <v>0</v>
      </c>
      <c r="J33" s="29">
        <f>(J32*D33)+(J30*D33)</f>
        <v>0</v>
      </c>
      <c r="K33" s="26">
        <f>K32*$D$33</f>
        <v>0</v>
      </c>
      <c r="L33" s="26"/>
      <c r="M33" s="26">
        <f t="shared" ref="M33:Y33" si="8">M32*$D$33</f>
        <v>0</v>
      </c>
      <c r="N33" s="26">
        <f>(N32*$D$33)+(N30*D33)</f>
        <v>0</v>
      </c>
      <c r="O33" s="26">
        <f t="shared" si="8"/>
        <v>0</v>
      </c>
      <c r="P33" s="26">
        <f>P32*$D$33</f>
        <v>0</v>
      </c>
      <c r="Q33" s="26">
        <f>Q32*$D$33</f>
        <v>0</v>
      </c>
      <c r="R33" s="26">
        <f>(R32+R30)*$D$33</f>
        <v>0</v>
      </c>
      <c r="S33" s="26">
        <f t="shared" si="8"/>
        <v>0</v>
      </c>
      <c r="T33" s="26">
        <f>T32*$D$33</f>
        <v>0</v>
      </c>
      <c r="U33" s="26">
        <f>U32*$D$33</f>
        <v>0</v>
      </c>
      <c r="V33" s="26">
        <f>V32*$D$33</f>
        <v>0</v>
      </c>
      <c r="W33" s="26">
        <f t="shared" si="8"/>
        <v>0</v>
      </c>
      <c r="X33" s="26">
        <f>X32*$D$33</f>
        <v>0</v>
      </c>
      <c r="Y33" s="26">
        <f t="shared" si="8"/>
        <v>0</v>
      </c>
      <c r="Z33" s="26">
        <f>Z32*$D$11</f>
        <v>0</v>
      </c>
      <c r="AA33" s="26">
        <f>AA32*$D$11</f>
        <v>0</v>
      </c>
    </row>
    <row r="34" spans="2:27">
      <c r="C34" s="242" t="s">
        <v>23</v>
      </c>
      <c r="D34" s="242"/>
      <c r="E34" s="30"/>
      <c r="F34" s="30">
        <v>0</v>
      </c>
      <c r="G34" s="30">
        <f>G32-G33</f>
        <v>0</v>
      </c>
      <c r="H34" s="30">
        <f>(H30+H29+H32)-H33</f>
        <v>0</v>
      </c>
      <c r="I34" s="30">
        <f>(I30+I29+I32)-I33</f>
        <v>0</v>
      </c>
      <c r="J34" s="30"/>
      <c r="K34" s="30">
        <f>K32-K33</f>
        <v>0</v>
      </c>
      <c r="L34" s="30"/>
      <c r="M34" s="30"/>
      <c r="N34" s="30">
        <v>0</v>
      </c>
      <c r="O34" s="30">
        <v>0</v>
      </c>
      <c r="P34" s="30">
        <v>0</v>
      </c>
      <c r="Q34" s="30"/>
      <c r="R34" s="30">
        <v>0</v>
      </c>
      <c r="S34" s="30">
        <v>0</v>
      </c>
      <c r="T34" s="30"/>
      <c r="U34" s="30">
        <v>0</v>
      </c>
      <c r="V34" s="30"/>
      <c r="W34" s="30">
        <v>0</v>
      </c>
      <c r="X34" s="30"/>
      <c r="Y34" s="27"/>
      <c r="Z34" s="27">
        <f>Z32-Z33</f>
        <v>0</v>
      </c>
      <c r="AA34" s="27">
        <f>AA32-AA33</f>
        <v>0</v>
      </c>
    </row>
    <row r="36" spans="2:27">
      <c r="M36" s="40"/>
      <c r="N36" s="38"/>
    </row>
    <row r="37" spans="2:27">
      <c r="C37" s="70"/>
      <c r="D37" s="70"/>
      <c r="E37" s="70"/>
      <c r="F37" s="70"/>
      <c r="G37" s="70"/>
      <c r="H37" s="70"/>
      <c r="I37" s="70"/>
      <c r="J37" s="70"/>
      <c r="K37" s="70"/>
      <c r="L37" s="70"/>
      <c r="M37" s="70"/>
      <c r="N37" s="70"/>
      <c r="O37" s="70"/>
      <c r="P37" s="70"/>
    </row>
    <row r="38" spans="2:27">
      <c r="C38" s="70"/>
      <c r="D38" s="70"/>
      <c r="E38" s="70"/>
      <c r="F38" s="47"/>
      <c r="G38" s="70"/>
      <c r="H38" s="47"/>
      <c r="I38" s="70"/>
      <c r="J38" s="70"/>
      <c r="K38" s="70"/>
      <c r="L38" s="70"/>
      <c r="M38" s="70"/>
      <c r="N38" s="70"/>
      <c r="O38" s="70"/>
      <c r="P38" s="70"/>
      <c r="Q38" s="41"/>
      <c r="R38" s="41"/>
      <c r="S38" s="41"/>
      <c r="T38" s="41"/>
      <c r="U38" s="41"/>
      <c r="V38" s="41"/>
      <c r="W38" s="41"/>
      <c r="X38" s="41"/>
      <c r="Y38" s="41"/>
      <c r="Z38" s="41"/>
    </row>
    <row r="39" spans="2:27">
      <c r="C39" s="70"/>
      <c r="D39" s="70"/>
      <c r="E39" s="70"/>
      <c r="F39" s="70"/>
      <c r="G39" s="70"/>
      <c r="H39" s="70"/>
      <c r="I39" s="70"/>
      <c r="J39" s="70"/>
      <c r="K39" s="70"/>
      <c r="L39" s="70"/>
      <c r="M39" s="70"/>
      <c r="N39" s="70"/>
      <c r="O39" s="70"/>
      <c r="P39" s="70"/>
    </row>
    <row r="40" spans="2:27">
      <c r="C40" s="45"/>
      <c r="D40" s="45"/>
      <c r="E40" s="45"/>
      <c r="F40" s="45"/>
      <c r="G40" s="60"/>
      <c r="H40" s="45"/>
      <c r="I40" s="142"/>
      <c r="J40" s="45"/>
      <c r="K40" s="45"/>
      <c r="L40" s="45"/>
      <c r="M40" s="66">
        <v>1</v>
      </c>
      <c r="N40" s="47"/>
      <c r="O40" s="45"/>
      <c r="P40" s="45"/>
      <c r="Q40" s="45"/>
      <c r="R40" s="45"/>
      <c r="S40" s="45"/>
    </row>
    <row r="41" spans="2:27" ht="42">
      <c r="C41" s="49" t="s">
        <v>27</v>
      </c>
      <c r="D41" s="49" t="s">
        <v>28</v>
      </c>
      <c r="E41" s="49" t="s">
        <v>29</v>
      </c>
      <c r="F41" s="49" t="s">
        <v>57</v>
      </c>
      <c r="G41" s="49" t="s">
        <v>30</v>
      </c>
      <c r="H41" s="49" t="s">
        <v>31</v>
      </c>
      <c r="I41" s="49" t="s">
        <v>32</v>
      </c>
      <c r="J41" s="49" t="s">
        <v>33</v>
      </c>
      <c r="K41" s="49" t="s">
        <v>34</v>
      </c>
      <c r="L41" s="49" t="s">
        <v>35</v>
      </c>
      <c r="M41" s="49" t="s">
        <v>36</v>
      </c>
      <c r="N41" s="49" t="s">
        <v>37</v>
      </c>
      <c r="O41" s="69">
        <v>1.2</v>
      </c>
      <c r="P41" s="49" t="s">
        <v>38</v>
      </c>
      <c r="Q41" s="49" t="s">
        <v>39</v>
      </c>
      <c r="R41" s="49">
        <v>0.75</v>
      </c>
      <c r="S41" s="49">
        <v>0.25</v>
      </c>
    </row>
    <row r="42" spans="2:27">
      <c r="B42" s="47"/>
      <c r="C42" s="50" t="s">
        <v>25</v>
      </c>
      <c r="D42" s="51">
        <v>5400000</v>
      </c>
      <c r="E42" s="105">
        <v>8000000</v>
      </c>
      <c r="F42" s="128">
        <v>703282.29999999993</v>
      </c>
      <c r="G42" s="60">
        <v>11944826.950000003</v>
      </c>
      <c r="H42" s="44">
        <f t="shared" ref="H42:H47" si="9">F42/E42</f>
        <v>8.7910287499999989E-2</v>
      </c>
      <c r="I42" s="61">
        <f t="shared" ref="I42:I57" si="10">G42/D42</f>
        <v>2.2120049907407413</v>
      </c>
      <c r="J42" s="58">
        <v>390000</v>
      </c>
      <c r="K42" s="58">
        <v>100000</v>
      </c>
      <c r="L42" s="58">
        <v>50000</v>
      </c>
      <c r="M42" s="67"/>
      <c r="N42" s="68">
        <v>3900</v>
      </c>
      <c r="O42" s="60">
        <f>M42*N42</f>
        <v>0</v>
      </c>
      <c r="P42" s="58"/>
      <c r="Q42" s="68">
        <f>L42</f>
        <v>50000</v>
      </c>
      <c r="R42" s="60">
        <f>Q42*R41</f>
        <v>37500</v>
      </c>
      <c r="S42" s="60">
        <f>Q42*S41</f>
        <v>12500</v>
      </c>
    </row>
    <row r="43" spans="2:27">
      <c r="B43" s="47"/>
      <c r="C43" s="50" t="s">
        <v>54</v>
      </c>
      <c r="D43" s="51">
        <v>3000000</v>
      </c>
      <c r="E43" s="105">
        <v>5000000</v>
      </c>
      <c r="F43" s="128">
        <v>4445024.42</v>
      </c>
      <c r="G43" s="60">
        <f>236291+3221839</f>
        <v>3458130</v>
      </c>
      <c r="H43" s="44">
        <f t="shared" si="9"/>
        <v>0.889004884</v>
      </c>
      <c r="I43" s="61">
        <f t="shared" si="10"/>
        <v>1.1527099999999999</v>
      </c>
      <c r="J43" s="128">
        <v>390000</v>
      </c>
      <c r="K43" s="58">
        <v>100000</v>
      </c>
      <c r="L43" s="58">
        <v>50000</v>
      </c>
      <c r="M43" s="67"/>
      <c r="N43" s="68">
        <v>3900</v>
      </c>
      <c r="O43" s="60">
        <f>M43*N43</f>
        <v>0</v>
      </c>
      <c r="P43" s="58"/>
      <c r="Q43" s="123">
        <f>(K43*H43)+L43</f>
        <v>138900.4884</v>
      </c>
      <c r="R43" s="60">
        <f>Q43*R41</f>
        <v>104175.36629999999</v>
      </c>
      <c r="S43" s="60">
        <f>Q43*S41</f>
        <v>34725.122100000001</v>
      </c>
    </row>
    <row r="44" spans="2:27">
      <c r="B44" s="47"/>
      <c r="C44" s="50" t="s">
        <v>53</v>
      </c>
      <c r="D44" s="51">
        <v>4800000</v>
      </c>
      <c r="E44" s="105"/>
      <c r="F44" s="128"/>
      <c r="G44" s="60"/>
      <c r="H44" s="44" t="e">
        <f t="shared" si="9"/>
        <v>#DIV/0!</v>
      </c>
      <c r="I44" s="61">
        <f t="shared" si="10"/>
        <v>0</v>
      </c>
      <c r="J44" s="58">
        <v>440000</v>
      </c>
      <c r="K44" s="58">
        <v>100000</v>
      </c>
      <c r="L44" s="58">
        <v>60000</v>
      </c>
      <c r="M44" s="67"/>
      <c r="N44" s="68">
        <v>4400</v>
      </c>
      <c r="O44" s="60">
        <f>M44*N44</f>
        <v>0</v>
      </c>
      <c r="P44" s="58"/>
      <c r="Q44" s="68"/>
      <c r="R44" s="138">
        <f>Q44*R41</f>
        <v>0</v>
      </c>
      <c r="S44" s="60">
        <f>Q44*S41</f>
        <v>0</v>
      </c>
    </row>
    <row r="45" spans="2:27">
      <c r="B45" s="47"/>
      <c r="C45" s="50" t="s">
        <v>50</v>
      </c>
      <c r="D45" s="51">
        <v>0</v>
      </c>
      <c r="E45" s="105"/>
      <c r="F45" s="128"/>
      <c r="G45" s="81"/>
      <c r="H45" s="44" t="e">
        <f t="shared" si="9"/>
        <v>#DIV/0!</v>
      </c>
      <c r="I45" s="61" t="e">
        <f t="shared" si="10"/>
        <v>#DIV/0!</v>
      </c>
      <c r="J45" s="128">
        <v>440000</v>
      </c>
      <c r="K45" s="58">
        <v>100000</v>
      </c>
      <c r="L45" s="58">
        <v>60000</v>
      </c>
      <c r="M45" s="67"/>
      <c r="N45" s="68">
        <v>4400</v>
      </c>
      <c r="O45" s="60">
        <f>N45*M45</f>
        <v>0</v>
      </c>
      <c r="P45" s="68"/>
      <c r="Q45" s="60"/>
      <c r="R45" s="60">
        <f>Q45*R41</f>
        <v>0</v>
      </c>
      <c r="S45" s="60">
        <f>Q45*S41</f>
        <v>0</v>
      </c>
    </row>
    <row r="46" spans="2:27">
      <c r="C46" s="50" t="s">
        <v>83</v>
      </c>
      <c r="D46" s="51">
        <v>6000000</v>
      </c>
      <c r="E46" s="105"/>
      <c r="F46" s="128"/>
      <c r="G46" s="60"/>
      <c r="H46" s="44" t="e">
        <f t="shared" si="9"/>
        <v>#DIV/0!</v>
      </c>
      <c r="I46" s="61">
        <f t="shared" si="10"/>
        <v>0</v>
      </c>
      <c r="J46" s="128">
        <v>440000</v>
      </c>
      <c r="K46" s="58">
        <v>100000</v>
      </c>
      <c r="L46" s="58">
        <v>60000</v>
      </c>
      <c r="M46" s="67"/>
      <c r="N46" s="68">
        <v>4400</v>
      </c>
      <c r="O46" s="60">
        <f>N46*M46</f>
        <v>0</v>
      </c>
      <c r="P46" s="68"/>
      <c r="Q46" s="68"/>
      <c r="R46" s="60">
        <f>Q46*R41</f>
        <v>0</v>
      </c>
      <c r="S46" s="60">
        <f>Q46*S41</f>
        <v>0</v>
      </c>
    </row>
    <row r="47" spans="2:27">
      <c r="B47" s="47"/>
      <c r="C47" s="50" t="s">
        <v>18</v>
      </c>
      <c r="D47" s="51">
        <v>6000000</v>
      </c>
      <c r="E47" s="105">
        <v>8000000</v>
      </c>
      <c r="F47" s="128">
        <v>9615993.3000000007</v>
      </c>
      <c r="G47" s="60">
        <v>5790299.7200000007</v>
      </c>
      <c r="H47" s="44">
        <f t="shared" si="9"/>
        <v>1.2019991625000002</v>
      </c>
      <c r="I47" s="61">
        <f t="shared" si="10"/>
        <v>0.96504995333333343</v>
      </c>
      <c r="J47" s="128">
        <v>440000</v>
      </c>
      <c r="K47" s="58">
        <v>100000</v>
      </c>
      <c r="L47" s="58">
        <v>60000</v>
      </c>
      <c r="M47" s="67">
        <v>20</v>
      </c>
      <c r="N47" s="68">
        <v>4400</v>
      </c>
      <c r="O47" s="60">
        <f>N47*M47</f>
        <v>88000</v>
      </c>
      <c r="P47" s="58">
        <f>0.2*2200</f>
        <v>440</v>
      </c>
      <c r="Q47" s="68">
        <f>P47+O47+K47+(L47*I47)</f>
        <v>246342.99720000001</v>
      </c>
      <c r="R47" s="60">
        <f>Q47*R41</f>
        <v>184757.24790000002</v>
      </c>
      <c r="S47" s="60">
        <f>Q47*S41</f>
        <v>61585.749300000003</v>
      </c>
    </row>
    <row r="48" spans="2:27">
      <c r="B48" s="47"/>
      <c r="C48" s="50" t="s">
        <v>41</v>
      </c>
      <c r="D48" s="51">
        <v>3000000</v>
      </c>
      <c r="E48" s="105">
        <v>8000000</v>
      </c>
      <c r="F48" s="128">
        <v>1897420.6</v>
      </c>
      <c r="G48" s="60">
        <f>71205+185600+5684778</f>
        <v>5941583</v>
      </c>
      <c r="H48" s="44">
        <f t="shared" ref="H48:H54" si="11">F48/E48</f>
        <v>0.237177575</v>
      </c>
      <c r="I48" s="61">
        <f t="shared" si="10"/>
        <v>1.9805276666666667</v>
      </c>
      <c r="J48" s="128">
        <v>390000</v>
      </c>
      <c r="K48" s="58">
        <v>100000</v>
      </c>
      <c r="L48" s="58">
        <v>50000</v>
      </c>
      <c r="M48" s="67"/>
      <c r="N48" s="68">
        <v>3900</v>
      </c>
      <c r="O48" s="60">
        <f t="shared" ref="O48:O56" si="12">M48*N48</f>
        <v>0</v>
      </c>
      <c r="P48" s="58"/>
      <c r="Q48" s="68">
        <f>L48</f>
        <v>50000</v>
      </c>
      <c r="R48" s="60">
        <f>Q48*R41</f>
        <v>37500</v>
      </c>
      <c r="S48" s="60">
        <f>Q48*S41</f>
        <v>12500</v>
      </c>
    </row>
    <row r="49" spans="2:19">
      <c r="B49" s="47"/>
      <c r="C49" s="50"/>
      <c r="D49" s="51">
        <v>0</v>
      </c>
      <c r="E49" s="105"/>
      <c r="F49" s="128"/>
      <c r="G49" s="81"/>
      <c r="H49" s="44" t="e">
        <f t="shared" si="11"/>
        <v>#DIV/0!</v>
      </c>
      <c r="I49" s="61" t="e">
        <f t="shared" si="10"/>
        <v>#DIV/0!</v>
      </c>
      <c r="J49" s="128">
        <v>390000</v>
      </c>
      <c r="K49" s="58">
        <v>100000</v>
      </c>
      <c r="L49" s="58">
        <v>50000</v>
      </c>
      <c r="M49" s="67"/>
      <c r="N49" s="68">
        <v>3900</v>
      </c>
      <c r="O49" s="60">
        <f t="shared" si="12"/>
        <v>0</v>
      </c>
      <c r="P49" s="58"/>
      <c r="Q49" s="68"/>
      <c r="R49" s="60">
        <f>Q49*R41</f>
        <v>0</v>
      </c>
      <c r="S49" s="60">
        <f>Q49*S41</f>
        <v>0</v>
      </c>
    </row>
    <row r="50" spans="2:19">
      <c r="B50" s="47"/>
      <c r="C50" s="50" t="s">
        <v>26</v>
      </c>
      <c r="D50" s="51">
        <v>9000000</v>
      </c>
      <c r="E50" s="105">
        <v>14000000</v>
      </c>
      <c r="F50" s="128">
        <v>13273623.619999999</v>
      </c>
      <c r="G50" s="60">
        <f>74080+10288334</f>
        <v>10362414</v>
      </c>
      <c r="H50" s="44">
        <f t="shared" si="11"/>
        <v>0.94811597285714277</v>
      </c>
      <c r="I50" s="61">
        <f t="shared" si="10"/>
        <v>1.1513793333333333</v>
      </c>
      <c r="J50" s="128">
        <v>440000</v>
      </c>
      <c r="K50" s="58">
        <v>100000</v>
      </c>
      <c r="L50" s="58">
        <v>60000</v>
      </c>
      <c r="M50" s="67"/>
      <c r="N50" s="68">
        <v>4400</v>
      </c>
      <c r="O50" s="60">
        <f t="shared" si="12"/>
        <v>0</v>
      </c>
      <c r="P50" s="58"/>
      <c r="Q50" s="68">
        <f>K50*H50+(L50)</f>
        <v>154811.59728571429</v>
      </c>
      <c r="R50" s="60">
        <f>Q50*R41</f>
        <v>116108.69796428572</v>
      </c>
      <c r="S50" s="60">
        <f>Q50*S41</f>
        <v>38702.899321428573</v>
      </c>
    </row>
    <row r="51" spans="2:19">
      <c r="B51" s="47"/>
      <c r="C51" s="50" t="s">
        <v>14</v>
      </c>
      <c r="D51" s="51">
        <v>16200000</v>
      </c>
      <c r="E51" s="105">
        <v>25500000</v>
      </c>
      <c r="F51" s="128">
        <f>6771353.5+F42+F48</f>
        <v>9372056.4000000004</v>
      </c>
      <c r="G51" s="60">
        <f>920556+13781652+G42+G48</f>
        <v>32588617.950000003</v>
      </c>
      <c r="H51" s="44">
        <f t="shared" si="11"/>
        <v>0.36753162352941177</v>
      </c>
      <c r="I51" s="61">
        <f t="shared" si="10"/>
        <v>2.0116430833333334</v>
      </c>
      <c r="J51" s="63">
        <v>490000</v>
      </c>
      <c r="K51" s="64">
        <v>110000</v>
      </c>
      <c r="L51" s="65">
        <v>80000</v>
      </c>
      <c r="M51" s="67"/>
      <c r="N51" s="68">
        <v>4900</v>
      </c>
      <c r="O51" s="60">
        <f t="shared" si="12"/>
        <v>0</v>
      </c>
      <c r="P51" s="58"/>
      <c r="Q51" s="68">
        <f>L51+(K51*H51)</f>
        <v>120428.4785882353</v>
      </c>
      <c r="R51" s="60">
        <f>Q51*R41</f>
        <v>90321.35894117647</v>
      </c>
      <c r="S51" s="60">
        <f>Q51*S41</f>
        <v>30107.119647058826</v>
      </c>
    </row>
    <row r="52" spans="2:19">
      <c r="C52" s="50"/>
      <c r="D52" s="51">
        <v>0</v>
      </c>
      <c r="E52" s="105"/>
      <c r="F52" s="128"/>
      <c r="G52" s="60"/>
      <c r="H52" s="44" t="e">
        <f t="shared" si="11"/>
        <v>#DIV/0!</v>
      </c>
      <c r="I52" s="61" t="e">
        <f t="shared" si="10"/>
        <v>#DIV/0!</v>
      </c>
      <c r="J52" s="128">
        <v>440000</v>
      </c>
      <c r="K52" s="58">
        <v>100000</v>
      </c>
      <c r="L52" s="58">
        <v>60000</v>
      </c>
      <c r="M52" s="67"/>
      <c r="N52" s="68">
        <v>4400</v>
      </c>
      <c r="O52" s="60">
        <f t="shared" si="12"/>
        <v>0</v>
      </c>
      <c r="P52" s="58"/>
      <c r="Q52" s="68"/>
      <c r="R52" s="56"/>
      <c r="S52" s="56"/>
    </row>
    <row r="53" spans="2:19">
      <c r="B53" s="47"/>
      <c r="C53" s="50" t="s">
        <v>16</v>
      </c>
      <c r="D53" s="51">
        <v>3300000</v>
      </c>
      <c r="E53" s="105">
        <v>3500000</v>
      </c>
      <c r="F53" s="128">
        <v>403284</v>
      </c>
      <c r="G53" s="60"/>
      <c r="H53" s="44">
        <f t="shared" si="11"/>
        <v>0.11522399999999999</v>
      </c>
      <c r="I53" s="61">
        <f t="shared" si="10"/>
        <v>0</v>
      </c>
      <c r="J53" s="128">
        <v>390000</v>
      </c>
      <c r="K53" s="58">
        <v>100000</v>
      </c>
      <c r="L53" s="58">
        <v>50000</v>
      </c>
      <c r="M53" s="67"/>
      <c r="N53" s="68">
        <v>3900</v>
      </c>
      <c r="O53" s="60">
        <f t="shared" si="12"/>
        <v>0</v>
      </c>
      <c r="P53" s="58"/>
      <c r="Q53" s="68"/>
      <c r="R53" s="60">
        <f>Q53*R41</f>
        <v>0</v>
      </c>
      <c r="S53" s="60">
        <f>Q53*S41</f>
        <v>0</v>
      </c>
    </row>
    <row r="54" spans="2:19">
      <c r="B54" s="47"/>
      <c r="C54" s="50" t="s">
        <v>59</v>
      </c>
      <c r="D54" s="51">
        <v>3000000</v>
      </c>
      <c r="E54" s="105">
        <v>5000000</v>
      </c>
      <c r="F54" s="128">
        <v>2028767.3</v>
      </c>
      <c r="G54" s="60">
        <f>235719+979556</f>
        <v>1215275</v>
      </c>
      <c r="H54" s="44">
        <f t="shared" si="11"/>
        <v>0.40575346000000001</v>
      </c>
      <c r="I54" s="61">
        <f t="shared" si="10"/>
        <v>0.40509166666666668</v>
      </c>
      <c r="J54" s="128">
        <v>390000</v>
      </c>
      <c r="K54" s="58">
        <v>100000</v>
      </c>
      <c r="L54" s="58">
        <v>50000</v>
      </c>
      <c r="M54" s="67"/>
      <c r="N54" s="68">
        <v>3900</v>
      </c>
      <c r="O54" s="60">
        <f t="shared" si="12"/>
        <v>0</v>
      </c>
      <c r="P54" s="128"/>
      <c r="Q54" s="68"/>
      <c r="R54" s="60">
        <f>Q54*R41</f>
        <v>0</v>
      </c>
      <c r="S54" s="60">
        <f>Q54*S41</f>
        <v>0</v>
      </c>
    </row>
    <row r="55" spans="2:19">
      <c r="B55" s="47"/>
      <c r="C55" s="50" t="s">
        <v>49</v>
      </c>
      <c r="D55" s="51">
        <v>3900000</v>
      </c>
      <c r="E55" s="105">
        <v>5500000</v>
      </c>
      <c r="F55" s="128">
        <v>11222362.420000002</v>
      </c>
      <c r="G55" s="60">
        <f>2298607+13118382</f>
        <v>15416989</v>
      </c>
      <c r="H55" s="44">
        <f>F55/E55</f>
        <v>2.0404295309090914</v>
      </c>
      <c r="I55" s="61">
        <f t="shared" si="10"/>
        <v>3.9530741025641025</v>
      </c>
      <c r="J55" s="128">
        <v>390000</v>
      </c>
      <c r="K55" s="58">
        <v>100000</v>
      </c>
      <c r="L55" s="58">
        <v>50000</v>
      </c>
      <c r="M55" s="67">
        <v>20</v>
      </c>
      <c r="N55" s="68">
        <v>3900</v>
      </c>
      <c r="O55" s="60">
        <f>M55*N55</f>
        <v>78000</v>
      </c>
      <c r="P55" s="58">
        <f>84.04*1950</f>
        <v>163878</v>
      </c>
      <c r="Q55" s="68">
        <f>P55+O55+L55+K55</f>
        <v>391878</v>
      </c>
      <c r="R55" s="60">
        <f>Q55*R41</f>
        <v>293908.5</v>
      </c>
      <c r="S55" s="60">
        <f>Q55*S41</f>
        <v>97969.5</v>
      </c>
    </row>
    <row r="56" spans="2:19">
      <c r="C56" s="50"/>
      <c r="D56" s="156"/>
      <c r="E56" s="157"/>
      <c r="F56" s="40"/>
      <c r="G56" s="158"/>
      <c r="H56" s="159" t="e">
        <f t="shared" ref="H56:H57" si="13">F56/E56</f>
        <v>#DIV/0!</v>
      </c>
      <c r="I56" s="61" t="e">
        <f t="shared" si="10"/>
        <v>#DIV/0!</v>
      </c>
      <c r="J56" s="58">
        <v>400000</v>
      </c>
      <c r="K56" s="58">
        <v>100000</v>
      </c>
      <c r="L56" s="58">
        <v>60000</v>
      </c>
      <c r="M56" s="67"/>
      <c r="N56" s="68">
        <v>4400</v>
      </c>
      <c r="O56" s="60">
        <f t="shared" si="12"/>
        <v>0</v>
      </c>
      <c r="P56" s="128"/>
      <c r="Q56" s="81"/>
      <c r="R56" s="60">
        <f>Q56*R41</f>
        <v>0</v>
      </c>
      <c r="S56" s="60">
        <f>Q56*S41</f>
        <v>0</v>
      </c>
    </row>
    <row r="57" spans="2:19">
      <c r="C57" s="73"/>
      <c r="D57" s="81">
        <v>0</v>
      </c>
      <c r="E57" s="91">
        <v>0</v>
      </c>
      <c r="F57" s="128"/>
      <c r="G57" s="81"/>
      <c r="H57" s="44" t="e">
        <f t="shared" si="13"/>
        <v>#DIV/0!</v>
      </c>
      <c r="I57" s="61" t="e">
        <f t="shared" si="10"/>
        <v>#DIV/0!</v>
      </c>
      <c r="J57" s="58">
        <v>400000</v>
      </c>
      <c r="K57" s="58">
        <v>100000</v>
      </c>
      <c r="L57" s="58">
        <v>60000</v>
      </c>
      <c r="M57" s="67"/>
      <c r="N57" s="68">
        <v>4400</v>
      </c>
      <c r="O57" s="56"/>
      <c r="P57" s="56"/>
      <c r="Q57" s="81"/>
      <c r="R57" s="60">
        <f>Q57*R41</f>
        <v>0</v>
      </c>
      <c r="S57" s="60">
        <f>Q57*S41</f>
        <v>0</v>
      </c>
    </row>
    <row r="58" spans="2:19">
      <c r="C58" s="54"/>
      <c r="D58" s="55"/>
      <c r="E58" s="55"/>
      <c r="F58" s="46"/>
      <c r="G58" s="59"/>
      <c r="H58" s="46"/>
      <c r="I58" s="46"/>
      <c r="J58" s="58"/>
      <c r="K58" s="58"/>
      <c r="L58" s="58"/>
      <c r="M58" s="56"/>
      <c r="N58" s="56"/>
      <c r="O58" s="56"/>
      <c r="P58" s="56"/>
      <c r="Q58" s="56"/>
      <c r="R58" s="56"/>
      <c r="S58" s="56"/>
    </row>
    <row r="59" spans="2:19" s="45" customFormat="1">
      <c r="C59" s="54"/>
      <c r="D59" s="55"/>
      <c r="E59" s="55"/>
      <c r="F59" s="46"/>
      <c r="G59" s="59"/>
      <c r="H59" s="46"/>
      <c r="I59" s="46"/>
      <c r="J59" s="58"/>
      <c r="K59" s="58"/>
      <c r="L59" s="58"/>
      <c r="M59" s="56"/>
      <c r="N59" s="56"/>
      <c r="O59" s="56"/>
      <c r="P59" s="56"/>
      <c r="Q59" s="56"/>
      <c r="R59" s="56"/>
      <c r="S59" s="56"/>
    </row>
    <row r="60" spans="2:19">
      <c r="C60" s="54"/>
      <c r="D60" s="55"/>
      <c r="E60" s="55"/>
      <c r="F60" s="59"/>
      <c r="G60" s="59"/>
      <c r="H60" s="46"/>
      <c r="I60" s="46"/>
      <c r="J60" s="58"/>
      <c r="K60" s="58"/>
      <c r="L60" s="58"/>
      <c r="M60" s="56"/>
      <c r="N60" s="56"/>
      <c r="O60" s="56"/>
      <c r="P60" s="56"/>
      <c r="Q60" s="56"/>
      <c r="R60" s="56"/>
      <c r="S60" s="56"/>
    </row>
    <row r="61" spans="2:19">
      <c r="C61" s="54"/>
      <c r="D61" s="55"/>
      <c r="E61" s="55"/>
      <c r="F61" s="59"/>
      <c r="G61" s="59"/>
      <c r="H61" s="46"/>
      <c r="I61" s="46"/>
      <c r="J61" s="58"/>
      <c r="K61" s="58"/>
      <c r="L61" s="58"/>
      <c r="M61" s="56"/>
      <c r="N61" s="56"/>
      <c r="O61" s="56"/>
      <c r="P61" s="56"/>
      <c r="Q61" s="56"/>
      <c r="R61" s="56"/>
      <c r="S61" s="56"/>
    </row>
    <row r="62" spans="2:19">
      <c r="C62" s="52"/>
      <c r="D62" s="53"/>
      <c r="E62" s="53"/>
      <c r="F62" s="57"/>
      <c r="G62" s="62"/>
      <c r="H62" s="57"/>
      <c r="I62" s="57"/>
      <c r="J62" s="58"/>
      <c r="K62" s="58"/>
      <c r="L62" s="58"/>
      <c r="M62" s="56"/>
      <c r="N62" s="56"/>
      <c r="O62" s="56"/>
      <c r="P62" s="56"/>
      <c r="Q62" s="56"/>
      <c r="R62" s="56"/>
      <c r="S62" s="56"/>
    </row>
    <row r="63" spans="2:19">
      <c r="C63" s="52"/>
      <c r="D63" s="53"/>
      <c r="E63" s="53"/>
      <c r="F63" s="57"/>
      <c r="G63" s="62"/>
      <c r="H63" s="57"/>
      <c r="I63" s="57"/>
      <c r="J63" s="58"/>
      <c r="K63" s="58"/>
      <c r="L63" s="58"/>
      <c r="M63" s="56"/>
      <c r="N63" s="56"/>
      <c r="O63" s="56"/>
      <c r="P63" s="56"/>
      <c r="Q63" s="56"/>
      <c r="R63" s="56"/>
      <c r="S63" s="56"/>
    </row>
    <row r="64" spans="2:19">
      <c r="C64" s="52"/>
      <c r="D64" s="53"/>
      <c r="E64" s="53"/>
      <c r="F64" s="57"/>
      <c r="G64" s="62"/>
      <c r="H64" s="57"/>
      <c r="I64" s="57"/>
      <c r="J64" s="58"/>
      <c r="K64" s="58"/>
      <c r="L64" s="58"/>
      <c r="M64" s="56"/>
      <c r="N64" s="56"/>
      <c r="O64" s="56"/>
      <c r="P64" s="56"/>
      <c r="Q64" s="56"/>
      <c r="R64" s="56"/>
      <c r="S64" s="56"/>
    </row>
    <row r="68" spans="4:4">
      <c r="D68" s="142"/>
    </row>
    <row r="69" spans="4:4">
      <c r="D69" s="142"/>
    </row>
    <row r="70" spans="4:4">
      <c r="D70" s="142"/>
    </row>
    <row r="71" spans="4:4">
      <c r="D71" s="142"/>
    </row>
    <row r="72" spans="4:4">
      <c r="D72" s="142"/>
    </row>
    <row r="73" spans="4:4">
      <c r="D73" s="142"/>
    </row>
    <row r="74" spans="4:4">
      <c r="D74" s="142"/>
    </row>
    <row r="75" spans="4:4">
      <c r="D75" s="142"/>
    </row>
    <row r="76" spans="4:4">
      <c r="D76" s="142"/>
    </row>
    <row r="77" spans="4:4">
      <c r="D77" s="142"/>
    </row>
    <row r="78" spans="4:4">
      <c r="D78" s="142"/>
    </row>
    <row r="79" spans="4:4">
      <c r="D79" s="142"/>
    </row>
    <row r="80" spans="4:4">
      <c r="D80" s="142"/>
    </row>
    <row r="81" spans="4:4">
      <c r="D81" s="142"/>
    </row>
    <row r="82" spans="4:4">
      <c r="D82" s="142"/>
    </row>
    <row r="83" spans="4:4">
      <c r="D83" s="142"/>
    </row>
    <row r="84" spans="4:4">
      <c r="D84" s="142"/>
    </row>
    <row r="85" spans="4:4">
      <c r="D85" s="142"/>
    </row>
    <row r="86" spans="4:4">
      <c r="D86" s="142"/>
    </row>
    <row r="87" spans="4:4">
      <c r="D87" s="142"/>
    </row>
  </sheetData>
  <mergeCells count="23">
    <mergeCell ref="C3:AA3"/>
    <mergeCell ref="C14:AA14"/>
    <mergeCell ref="C25:AA25"/>
    <mergeCell ref="C29:C30"/>
    <mergeCell ref="C31:C32"/>
    <mergeCell ref="C4:D4"/>
    <mergeCell ref="C5:D5"/>
    <mergeCell ref="C34:D34"/>
    <mergeCell ref="C9:C10"/>
    <mergeCell ref="C12:D12"/>
    <mergeCell ref="C26:D26"/>
    <mergeCell ref="Q6:R6"/>
    <mergeCell ref="C15:D15"/>
    <mergeCell ref="C16:D16"/>
    <mergeCell ref="C17:D17"/>
    <mergeCell ref="Q17:R17"/>
    <mergeCell ref="C18:C19"/>
    <mergeCell ref="C20:C21"/>
    <mergeCell ref="C23:D23"/>
    <mergeCell ref="C27:D27"/>
    <mergeCell ref="C28:D28"/>
    <mergeCell ref="C6:D6"/>
    <mergeCell ref="C7:C8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АБ</vt:lpstr>
      <vt:lpstr>ПК</vt:lpstr>
      <vt:lpstr>СД</vt:lpstr>
      <vt:lpstr>ИТОГ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Владислав Горбань</dc:creator>
  <cp:lastModifiedBy>Еркеназ Тлек</cp:lastModifiedBy>
  <cp:lastPrinted>2024-07-17T06:33:09Z</cp:lastPrinted>
  <dcterms:created xsi:type="dcterms:W3CDTF">2023-05-02T10:59:47Z</dcterms:created>
  <dcterms:modified xsi:type="dcterms:W3CDTF">2026-06-18T11:38:27Z</dcterms:modified>
</cp:coreProperties>
</file>